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d6f6c6b73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_대시보드" sheetId="1" r:id="R28a316df6b834920"/>
    <x:sheet xmlns:r="http://schemas.openxmlformats.org/officeDocument/2006/relationships" name="광고주_목록" sheetId="2" r:id="Rb893b1946ff94c21"/>
    <x:sheet xmlns:r="http://schemas.openxmlformats.org/officeDocument/2006/relationships" name="대시보드_공개데이터" sheetId="3" r:id="R78d9536fcf1941da"/>
    <x:sheet xmlns:r="http://schemas.openxmlformats.org/officeDocument/2006/relationships" name="네이버_데이터" sheetId="4" r:id="R057d983c16e14b3b"/>
    <x:sheet xmlns:r="http://schemas.openxmlformats.org/officeDocument/2006/relationships" name="쿠팡_데이터" sheetId="5" r:id="Reb6e97d068064795"/>
    <x:sheet xmlns:r="http://schemas.openxmlformats.org/officeDocument/2006/relationships" name="KPI_목표" sheetId="6" r:id="R0518a7dfb1794ae2"/>
    <x:sheet xmlns:r="http://schemas.openxmlformats.org/officeDocument/2006/relationships" name="보고서_목록" sheetId="7" r:id="R8b8cd875f0484429"/>
    <x:sheet xmlns:r="http://schemas.openxmlformats.org/officeDocument/2006/relationships" name="일정표" sheetId="8" r:id="R364f4d67be344b66"/>
    <x:sheet xmlns:r="http://schemas.openxmlformats.org/officeDocument/2006/relationships" name="인사이트_액션플랜" sheetId="9" r:id="R7f5250cf377b40b2"/>
    <x:sheet xmlns:r="http://schemas.openxmlformats.org/officeDocument/2006/relationships" name="공개규칙" sheetId="10" r:id="R92cc1c923e3d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x"/>
    <x:numFmt numFmtId="202" formatCode="0%"/>
    <x:numFmt numFmtId="203" formatCode="0.0%"/>
  </x:numFmts>
  <x:fonts count="4">
    <x:font>
      <x:sz val="11"/>
      <x:name val="Carlito"/>
    </x:font>
    <x:font>
      <x:b/>
      <x:sz val="16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61A3A"/>
      </x:patternFill>
    </x:fill>
    <x:fill>
      <x:patternFill patternType="solid">
        <x:fgColor rgb="FFFFFFFF"/>
      </x:patternFill>
    </x:fill>
    <x:fill>
      <x:patternFill patternType="solid">
        <x:fgColor rgb="FFFFF9DB"/>
      </x:patternFill>
    </x:fill>
    <x:fill>
      <x:patternFill patternType="solid">
        <x:fgColor rgb="FFEEF2F7"/>
      </x:patternFill>
    </x:fill>
  </x:fills>
  <x:borders count="5">
    <x:border/>
    <x:border>
      <x:left style="thin">
        <x:color rgb="FF061A3A"/>
      </x:left>
      <x:top style="thin">
        <x:color rgb="FF061A3A"/>
      </x:top>
      <x:bottom style="thin">
        <x:color rgb="FF061A3A"/>
      </x:bottom>
    </x:border>
    <x:border>
      <x:top style="thin">
        <x:color rgb="FF061A3A"/>
      </x:top>
      <x:bottom style="thin">
        <x:color rgb="FF061A3A"/>
      </x:bottom>
    </x:border>
    <x:border>
      <x:right style="thin">
        <x:color rgb="FF061A3A"/>
      </x:right>
      <x:top style="thin">
        <x:color rgb="FF061A3A"/>
      </x:top>
      <x:bottom style="thin">
        <x:color rgb="FF061A3A"/>
      </x:bottom>
    </x:border>
    <x:border>
      <x:left style="thin">
        <x:color rgb="FFDFE5EF"/>
      </x:left>
      <x:right style="thin">
        <x:color rgb="FFDFE5EF"/>
      </x:right>
      <x:top style="thin">
        <x:color rgb="FFDFE5EF"/>
      </x:top>
      <x:bottom style="thin">
        <x:color rgb="FFDFE5E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  <x:xf numFmtId="202" fontId="2" fillId="3" borderId="4" xfId="0" applyNumberFormat="1" applyFont="1" applyFill="1" applyBorder="1" applyAlignment="1">
      <x:alignment vertical="center" wrapText="1"/>
    </x:xf>
    <x:xf numFmtId="200" fontId="2" fillId="4" borderId="4" xfId="0" applyNumberFormat="1" applyFont="1" applyFill="1" applyBorder="1" applyAlignment="1">
      <x:alignment vertical="center" wrapText="1"/>
    </x:xf>
    <x:xf numFmtId="203" fontId="2" fillId="3" borderId="4" xfId="0" applyNumberFormat="1" applyFont="1" applyFill="1" applyBorder="1" applyAlignment="1">
      <x:alignment vertical="center" wrapText="1"/>
    </x:xf>
    <x:xf numFmtId="201" fontId="2" fillId="4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e70d4f7274a40" /><Relationship Type="http://schemas.openxmlformats.org/officeDocument/2006/relationships/theme" Target="/xl/theme/theme1.xml" Id="R7fcc003a8f1b4f32" /><Relationship Type="http://schemas.openxmlformats.org/officeDocument/2006/relationships/sharedStrings" Target="/xl/sharedStrings.xml" Id="R69b1f1fe09c74a6a" /><Relationship Type="http://schemas.openxmlformats.org/officeDocument/2006/relationships/worksheet" Target="/xl/worksheets/sheet1.xml" Id="R28a316df6b834920" /><Relationship Type="http://schemas.openxmlformats.org/officeDocument/2006/relationships/worksheet" Target="/xl/worksheets/sheet2.xml" Id="Rb893b1946ff94c21" /><Relationship Type="http://schemas.openxmlformats.org/officeDocument/2006/relationships/worksheet" Target="/xl/worksheets/sheet3.xml" Id="R78d9536fcf1941da" /><Relationship Type="http://schemas.openxmlformats.org/officeDocument/2006/relationships/worksheet" Target="/xl/worksheets/sheet4.xml" Id="R057d983c16e14b3b" /><Relationship Type="http://schemas.openxmlformats.org/officeDocument/2006/relationships/worksheet" Target="/xl/worksheets/sheet5.xml" Id="Reb6e97d068064795" /><Relationship Type="http://schemas.openxmlformats.org/officeDocument/2006/relationships/worksheet" Target="/xl/worksheets/sheet6.xml" Id="R0518a7dfb1794ae2" /><Relationship Type="http://schemas.openxmlformats.org/officeDocument/2006/relationships/worksheet" Target="/xl/worksheets/sheet7.xml" Id="R8b8cd875f0484429" /><Relationship Type="http://schemas.openxmlformats.org/officeDocument/2006/relationships/worksheet" Target="/xl/worksheets/sheet8.xml" Id="R364f4d67be344b66" /><Relationship Type="http://schemas.openxmlformats.org/officeDocument/2006/relationships/worksheet" Target="/xl/worksheets/sheet9.xml" Id="R7f5250cf377b40b2" /><Relationship Type="http://schemas.openxmlformats.org/officeDocument/2006/relationships/worksheet" Target="/xl/worksheets/sheet10.xml" Id="R92cc1c923e3d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34.11000061035156" hidden="0" customWidth="1"/>
    <x:col min="3" max="3" width="6" hidden="0" customWidth="1"/>
    <x:col min="4" max="4" width="4.329999923706055" hidden="0" customWidth="1"/>
    <x:col min="5" max="5" width="17.889999389648438" hidden="0" customWidth="1"/>
    <x:col min="6" max="6" width="6.440000057220459" hidden="0" customWidth="1"/>
    <x:col min="7" max="7" width="6.440000057220459" hidden="0" customWidth="1"/>
    <x:col min="8" max="8" width="16.670000076293945" hidden="0" customWidth="1"/>
  </x:cols>
  <x:sheetData>
    <x:row r="1" ht="19.200000762939453" hidden="0" customHeight="1">
      <x:c r="A1" s="9" t="str">
        <x:v>모먼트인사이트 운영 시트 템플릿</x:v>
      </x:c>
      <x:c r="B1" s="10" t="str"/>
      <x:c r="C1" s="10" t="str"/>
      <x:c r="D1" s="10" t="str"/>
      <x:c r="E1" s="10" t="str"/>
      <x:c r="F1" s="10" t="str"/>
      <x:c r="G1" s="10" t="str"/>
      <x:c r="H1" s="11" t="str"/>
    </x:row>
    <x:row r="2"/>
    <x:row r="3" ht="15" hidden="0" customHeight="1">
      <x:c r="A3" s="16" t="str">
        <x:v>선택 광고주ID</x:v>
      </x:c>
      <x:c r="B3" s="17" t="str">
        <x:v>MI-CLIENT-001</x:v>
      </x:c>
    </x:row>
    <x:row r="4" ht="15" hidden="0" customHeight="1">
      <x:c r="A4" s="16" t="str">
        <x:v>운영 기준월</x:v>
      </x:c>
      <x:c r="B4" s="17" t="str">
        <x:v>2026-06</x:v>
      </x:c>
    </x:row>
    <x:row r="5" ht="15" hidden="0" customHeight="1">
      <x:c r="A5" s="16" t="str">
        <x:v>공개 조건</x:v>
      </x:c>
      <x:c r="B5" s="16" t="str">
        <x:v>관리자컨펌=승인 / 광고주공유여부=Y</x:v>
      </x:c>
    </x:row>
    <x:row r="6" ht="15" hidden="0" customHeight="1">
      <x:c r="A6" s="16" t="str">
        <x:v>사용 방식</x:v>
      </x:c>
      <x:c r="B6" s="16" t="str">
        <x:v>원천 탭에 입력하면 공개 데이터와 대시보드가 계산됩니다.</x:v>
      </x:c>
    </x:row>
    <x:row r="7"/>
    <x:row r="8" ht="15" hidden="0" customHeight="1">
      <x:c r="A8" s="23" t="str">
        <x:v>지표</x:v>
      </x:c>
      <x:c r="B8" s="23" t="str">
        <x:v>값</x:v>
      </x:c>
      <x:c r="C8" s="23" t="str">
        <x:v>상태</x:v>
      </x:c>
      <x:c r="D8" s="23" t="str"/>
      <x:c r="E8" s="23" t="str">
        <x:v>채널</x:v>
      </x:c>
      <x:c r="F8" s="23" t="str">
        <x:v>매출</x:v>
      </x:c>
      <x:c r="G8" s="23" t="str">
        <x:v>광고비</x:v>
      </x:c>
      <x:c r="H8" s="23" t="str">
        <x:v>ROAS</x:v>
      </x:c>
    </x:row>
    <x:row r="9" ht="15" hidden="0" customHeight="1">
      <x:c r="A9" s="16" t="str">
        <x:v>이번 달 매출</x:v>
      </x:c>
      <x:c r="B9" s="25" t="n">
        <x:f>IFERROR(INDEX('대시보드_공개데이터'!D:D,MATCH($B$3,'대시보드_공개데이터'!A:A,0)),"")</x:f>
        <x:v>41800000</x:v>
      </x:c>
      <x:c r="C9" s="16" t="str">
        <x:f>IF(B9="","대기",IF(B9&gt;=INDEX('대시보드_공개데이터'!C:C,MATCH($B$3,'대시보드_공개데이터'!A:A,0)),"목표 초과","추적 필요"))</x:f>
        <x:v>목표 초과</x:v>
      </x:c>
      <x:c r="D9" s="16"/>
      <x:c r="E9" s="16" t="str">
        <x:v>네이버</x:v>
      </x:c>
      <x:c r="F9" s="25" t="n">
        <x:f>SUMIFS('네이버_데이터'!E:E,'네이버_데이터'!A:A,$B$3,'네이버_데이터'!O:O,"승인",'네이버_데이터'!P:P,"Y")</x:f>
        <x:v>18600000</x:v>
      </x:c>
      <x:c r="G9" s="25" t="n">
        <x:f>SUMIFS('네이버_데이터'!D:D,'네이버_데이터'!A:A,$B$3,'네이버_데이터'!O:O,"승인",'네이버_데이터'!P:P,"Y")</x:f>
        <x:v>3200000</x:v>
      </x:c>
      <x:c r="H9" s="26" t="n">
        <x:f>IFERROR(F9/G9,0)</x:f>
        <x:v>5.8125</x:v>
      </x:c>
    </x:row>
    <x:row r="10" ht="15" hidden="0" customHeight="1">
      <x:c r="A10" s="16" t="str">
        <x:v>광고비</x:v>
      </x:c>
      <x:c r="B10" s="25" t="n">
        <x:f>IFERROR(INDEX('대시보드_공개데이터'!E:E,MATCH($B$3,'대시보드_공개데이터'!A:A,0)),"")</x:f>
        <x:v>7200000</x:v>
      </x:c>
      <x:c r="C10" s="16" t="str">
        <x:f>IF(B10="","대기","확인")</x:f>
        <x:v>확인</x:v>
      </x:c>
      <x:c r="D10" s="16"/>
      <x:c r="E10" s="16" t="str">
        <x:v>쿠팡</x:v>
      </x:c>
      <x:c r="F10" s="25" t="n">
        <x:f>SUMIFS('쿠팡_데이터'!E:E,'쿠팡_데이터'!A:A,$B$3,'쿠팡_데이터'!O:O,"승인",'쿠팡_데이터'!P:P,"Y")</x:f>
        <x:v>14200000</x:v>
      </x:c>
      <x:c r="G10" s="25" t="n">
        <x:f>SUMIFS('쿠팡_데이터'!D:D,'쿠팡_데이터'!A:A,$B$3,'쿠팡_데이터'!O:O,"승인",'쿠팡_데이터'!P:P,"Y")</x:f>
        <x:v>2210000</x:v>
      </x:c>
      <x:c r="H10" s="26" t="n">
        <x:f>IFERROR(F10/G10,0)</x:f>
        <x:v>6.425339366515837</x:v>
      </x:c>
    </x:row>
    <x:row r="11" ht="15" hidden="0" customHeight="1">
      <x:c r="A11" s="16" t="str">
        <x:v>ROAS</x:v>
      </x:c>
      <x:c r="B11" s="26" t="n">
        <x:f>IFERROR(INDEX('대시보드_공개데이터'!J:J,MATCH($B$3,'대시보드_공개데이터'!A:A,0)),"")</x:f>
        <x:v>5.805555555555555</x:v>
      </x:c>
      <x:c r="C11" s="16" t="str">
        <x:f>IF(B11="","대기",IF(B11&gt;=5,"양호","개선"))</x:f>
        <x:v>양호</x:v>
      </x:c>
      <x:c r="D11" s="16"/>
      <x:c r="E11" s="16"/>
      <x:c r="F11" s="16"/>
      <x:c r="G11" s="16"/>
      <x:c r="H11" s="16"/>
    </x:row>
    <x:row r="12" ht="15" hidden="0" customHeight="1">
      <x:c r="A12" s="16" t="str">
        <x:v>구매수</x:v>
      </x:c>
      <x:c r="B12" s="16" t="n">
        <x:f>IFERROR(INDEX('대시보드_공개데이터'!F:F,MATCH($B$3,'대시보드_공개데이터'!A:A,0)),"")</x:f>
        <x:v>1248</x:v>
      </x:c>
      <x:c r="C12" s="16" t="str">
        <x:f>IF(B12="","대기","확인")</x:f>
        <x:v>확인</x:v>
      </x:c>
      <x:c r="D12" s="16"/>
      <x:c r="E12" s="16"/>
      <x:c r="F12" s="16"/>
      <x:c r="G12" s="16"/>
      <x:c r="H12" s="16"/>
    </x:row>
    <x:row r="13" ht="15" hidden="0" customHeight="1">
      <x:c r="A13" s="16" t="str">
        <x:v>목표 달성률</x:v>
      </x:c>
      <x:c r="B13" s="27" t="n">
        <x:f>IFERROR(INDEX('대시보드_공개데이터'!M:M,MATCH($B$3,'대시보드_공개데이터'!A:A,0)),"")</x:f>
        <x:v>1.1611111111111112</x:v>
      </x:c>
      <x:c r="C13" s="16" t="str">
        <x:f>IF(B13="","대기",IF(B13&gt;=1,"달성","진행"))</x:f>
        <x:v>달성</x:v>
      </x:c>
      <x:c r="D13" s="16"/>
      <x:c r="E13" s="16"/>
      <x:c r="F13" s="16"/>
      <x:c r="G13" s="16"/>
      <x:c r="H13" s="16"/>
    </x:row>
    <x:row r="14" ht="15" hidden="0" customHeight="1">
      <x:c r="A14" s="16" t="str">
        <x:v>공개 상태</x:v>
      </x:c>
      <x:c r="B14" s="16" t="str">
        <x:f>IFERROR(IF(AND(INDEX('대시보드_공개데이터'!N:N,MATCH($B$3,'대시보드_공개데이터'!A:A,0))="승인",INDEX('대시보드_공개데이터'!O:O,MATCH($B$3,'대시보드_공개데이터'!A:A,0))="Y"),"광고주 공개","비공개"),"")</x:f>
        <x:v>광고주 공개</x:v>
      </x:c>
      <x:c r="C14" s="16" t="str">
        <x:f>B14</x:f>
        <x:v>광고주 공개</x:v>
      </x:c>
      <x:c r="D14" s="16"/>
      <x:c r="E14" s="16"/>
      <x:c r="F14" s="16"/>
      <x:c r="G14" s="16"/>
      <x:c r="H14" s="16"/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</x:row>
    <x:row r="17" ht="15" hidden="0" customHeight="1">
      <x:c r="A17" s="24" t="str">
        <x:v>운영 체크</x:v>
      </x:c>
      <x:c r="B17" s="24" t="str">
        <x:v>기준</x:v>
      </x:c>
      <x:c r="C17" s="24" t="str">
        <x:v>현재 상태</x:v>
      </x:c>
      <x:c r="D17" s="24" t="str">
        <x:v>담당</x:v>
      </x:c>
      <x:c r="E17" s="24" t="str">
        <x:v>다음 조치</x:v>
      </x:c>
      <x:c r="F17" s="24" t="str">
        <x:v>마감</x:v>
      </x:c>
      <x:c r="G17" s="24" t="str">
        <x:v>공개 영향</x:v>
      </x:c>
      <x:c r="H17" s="24" t="str">
        <x:v>메모</x:v>
      </x:c>
    </x:row>
    <x:row r="18" ht="15" hidden="0" customHeight="1">
      <x:c r="A18" s="16" t="str">
        <x:v>광고주ID</x:v>
      </x:c>
      <x:c r="B18" s="16" t="str">
        <x:v>모든 원천 탭 필수</x:v>
      </x:c>
      <x:c r="C18" s="16" t="str">
        <x:v>정상</x:v>
      </x:c>
      <x:c r="D18" s="16" t="str">
        <x:v>운영</x:v>
      </x:c>
      <x:c r="E18" s="16" t="str">
        <x:v>신규 광고주 생성 시 먼저 발급</x:v>
      </x:c>
      <x:c r="F18" s="16" t="str">
        <x:v>상시</x:v>
      </x:c>
      <x:c r="G18" s="16" t="str">
        <x:v>높음</x:v>
      </x:c>
      <x:c r="H18" s="16" t="str">
        <x:v>권한 분리 기준</x:v>
      </x:c>
    </x:row>
    <x:row r="19" ht="15" hidden="0" customHeight="1">
      <x:c r="A19" s="16" t="str">
        <x:v>공개 승인</x:v>
      </x:c>
      <x:c r="B19" s="16" t="str">
        <x:v>관리자컨펌=승인</x:v>
      </x:c>
      <x:c r="C19" s="16" t="str">
        <x:v>검수 중</x:v>
      </x:c>
      <x:c r="D19" s="16" t="str">
        <x:v>팀장</x:v>
      </x:c>
      <x:c r="E19" s="16" t="str">
        <x:v>승인 전 광고주 화면 미노출</x:v>
      </x:c>
      <x:c r="F19" s="16" t="str">
        <x:v>오늘</x:v>
      </x:c>
      <x:c r="G19" s="16" t="str">
        <x:v>높음</x:v>
      </x:c>
      <x:c r="H19" s="16" t="str">
        <x:v>내부 메모 제거 확인</x:v>
      </x:c>
    </x:row>
    <x:row r="20" ht="15" hidden="0" customHeight="1">
      <x:c r="A20" s="16" t="str">
        <x:v>공유 여부</x:v>
      </x:c>
      <x:c r="B20" s="16" t="str">
        <x:v>광고주공유여부=Y</x:v>
      </x:c>
      <x:c r="C20" s="16" t="str">
        <x:v>정상</x:v>
      </x:c>
      <x:c r="D20" s="16" t="str">
        <x:v>운영</x:v>
      </x:c>
      <x:c r="E20" s="16" t="str">
        <x:v>공개할 행만 Y 처리</x:v>
      </x:c>
      <x:c r="F20" s="16" t="str">
        <x:v>상시</x:v>
      </x:c>
      <x:c r="G20" s="16" t="str">
        <x:v>높음</x:v>
      </x:c>
      <x:c r="H20" s="16" t="str">
        <x:v>보고서와 데이터 동일 기준</x:v>
      </x:c>
    </x:row>
    <x:row r="21" ht="15" hidden="0" customHeight="1">
      <x:c r="A21" s="16" t="str">
        <x:v>시트 원본</x:v>
      </x:c>
      <x:c r="B21" s="16" t="str">
        <x:v>네이버/쿠팡 분리</x:v>
      </x:c>
      <x:c r="C21" s="16" t="str">
        <x:v>정상</x:v>
      </x:c>
      <x:c r="D21" s="16" t="str">
        <x:v>분석</x:v>
      </x:c>
      <x:c r="E21" s="16" t="str">
        <x:v>월별 원천값 업데이트</x:v>
      </x:c>
      <x:c r="F21" s="16" t="str">
        <x:v>매주</x:v>
      </x:c>
      <x:c r="G21" s="16" t="str">
        <x:v>중간</x:v>
      </x:c>
      <x:c r="H21" s="16" t="str">
        <x:v>캠페인별 확장 가능</x:v>
      </x:c>
    </x:row>
    <x:row r="22" ht="15" hidden="0" customHeight="1">
      <x:c r="A22" s="16" t="str">
        <x:v>보고서 전달</x:v>
      </x:c>
      <x:c r="B22" s="16" t="str">
        <x:v>관리자 확인 후 전달</x:v>
      </x:c>
      <x:c r="C22" s="16" t="str">
        <x:v>대기</x:v>
      </x:c>
      <x:c r="D22" s="16" t="str">
        <x:v>관리자</x:v>
      </x:c>
      <x:c r="E22" s="16" t="str">
        <x:v>PDF/엑셀 링크 검수</x:v>
      </x:c>
      <x:c r="F22" s="16" t="str">
        <x:v>이번 주</x:v>
      </x:c>
      <x:c r="G22" s="16" t="str">
        <x:v>중간</x:v>
      </x:c>
      <x:c r="H22" s="16" t="str">
        <x:v>광고주 직접 다운로드는 2차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9.5600004196167" hidden="0" customWidth="1"/>
    <x:col min="3" max="3" width="9.5600004196167" hidden="0" customWidth="1"/>
    <x:col min="4" max="4" width="12.5600004196167" hidden="0" customWidth="1"/>
    <x:col min="5" max="5" width="7.329999923706055" hidden="0" customWidth="1"/>
    <x:col min="6" max="6" width="4.78000020980835" hidden="0" customWidth="1"/>
    <x:col min="7" max="7" width="13.220000267028809" hidden="0" customWidth="1"/>
    <x:col min="8" max="8" width="16.559999465942383" hidden="0" customWidth="1"/>
    <x:col min="9" max="9" width="8.109999656677246" hidden="0" customWidth="1"/>
    <x:col min="10" max="10" width="11.779999732971191" hidden="0" customWidth="1"/>
  </x:cols>
  <x:sheetData>
    <x:row r="1" ht="15" hidden="0" customHeight="1">
      <x:c r="A1" s="23" t="str">
        <x:v>client_id</x:v>
      </x:c>
      <x:c r="B1" s="23" t="str">
        <x:v>광고주명</x:v>
      </x:c>
      <x:c r="C1" s="23" t="str">
        <x:v>브랜드명</x:v>
      </x:c>
      <x:c r="D1" s="23" t="str">
        <x:v>agency_code</x:v>
      </x:c>
      <x:c r="E1" s="23" t="str">
        <x:v>담당자</x:v>
      </x:c>
      <x:c r="F1" s="23" t="str">
        <x:v>상태</x:v>
      </x:c>
      <x:c r="G1" s="23" t="str">
        <x:v>sheet_id</x:v>
      </x:c>
      <x:c r="H1" s="23" t="str">
        <x:v>로그인 이메일</x:v>
      </x:c>
      <x:c r="I1" s="23" t="str">
        <x:v>생성일</x:v>
      </x:c>
      <x:c r="J1" s="23" t="str">
        <x:v>메모</x:v>
      </x:c>
    </x:row>
    <x:row r="2" ht="15" hidden="0" customHeight="1">
      <x:c r="A2" s="17" t="str">
        <x:v>MI-CLIENT-001</x:v>
      </x:c>
      <x:c r="B2" s="17" t="str">
        <x:v>예시브랜드</x:v>
      </x:c>
      <x:c r="C2" s="17" t="str">
        <x:v>예시브랜드</x:v>
      </x:c>
      <x:c r="D2" s="17" t="str">
        <x:v>MI-AGENCY-2026</x:v>
      </x:c>
      <x:c r="E2" s="17" t="str">
        <x:v>운영 관리자</x:v>
      </x:c>
      <x:c r="F2" s="17" t="str">
        <x:v>운영 중</x:v>
      </x:c>
      <x:c r="G2" s="17" t="str">
        <x:v>SHEET-DEMO-001</x:v>
      </x:c>
      <x:c r="H2" s="17" t="str">
        <x:v>client@example.com</x:v>
      </x:c>
      <x:c r="I2" s="17" t="str">
        <x:v>2026-06-01</x:v>
      </x:c>
      <x:c r="J2" s="17" t="str">
        <x:v>데모 기본 광고주</x:v>
      </x:c>
    </x:row>
    <x:row r="3" ht="15" hidden="0" customHeight="1">
      <x:c r="A3" s="17" t="str">
        <x:v>MI-CLIENT-002</x:v>
      </x:c>
      <x:c r="B3" s="17" t="str">
        <x:v>신규브랜드 A</x:v>
      </x:c>
      <x:c r="C3" s="17" t="str">
        <x:v>신규브랜드 A</x:v>
      </x:c>
      <x:c r="D3" s="17" t="str">
        <x:v>MI-AGENCY-A</x:v>
      </x:c>
      <x:c r="E3" s="17" t="str">
        <x:v>차장</x:v>
      </x:c>
      <x:c r="F3" s="17" t="str">
        <x:v>세팅</x:v>
      </x:c>
      <x:c r="G3" s="17" t="str">
        <x:v>SHEET-DEMO-002</x:v>
      </x:c>
      <x:c r="H3" s="17" t="str">
        <x:v>new@example.com</x:v>
      </x:c>
      <x:c r="I3" s="17" t="str">
        <x:v>2026-06-10</x:v>
      </x:c>
      <x:c r="J3" s="17" t="str">
        <x:v>KPI 목표 입력 필요</x:v>
      </x:c>
    </x:row>
    <x:row r="4" ht="15" hidden="0" customHeight="1">
      <x:c r="A4" s="17" t="str">
        <x:v>MI-CLIENT-003</x:v>
      </x:c>
      <x:c r="B4" s="17" t="str">
        <x:v>리텐션브랜드 B</x:v>
      </x:c>
      <x:c r="C4" s="17" t="str">
        <x:v>리텐션브랜드 B</x:v>
      </x:c>
      <x:c r="D4" s="17" t="str">
        <x:v>MI-AGENCY-B</x:v>
      </x:c>
      <x:c r="E4" s="17" t="str">
        <x:v>팀장</x:v>
      </x:c>
      <x:c r="F4" s="17" t="str">
        <x:v>운영 중</x:v>
      </x:c>
      <x:c r="G4" s="17" t="str">
        <x:v>SHEET-DEMO-003</x:v>
      </x:c>
      <x:c r="H4" s="17" t="str">
        <x:v>retention@example.com</x:v>
      </x:c>
      <x:c r="I4" s="17" t="str">
        <x:v>2026-05-20</x:v>
      </x:c>
      <x:c r="J4" s="17" t="str">
        <x:v>일정 공개 완료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 ht="15" hidden="0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15" hidden="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15" hidden="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15" hidden="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15" hidden="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5" hidden="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5.889999866485596" hidden="0" customWidth="1"/>
    <x:col min="3" max="3" width="7.889999866485596" hidden="0" customWidth="1"/>
    <x:col min="4" max="4" width="7.889999866485596" hidden="0" customWidth="1"/>
    <x:col min="5" max="5" width="7.110000133514404" hidden="0" customWidth="1"/>
    <x:col min="6" max="6" width="4.329999923706055" hidden="0" customWidth="1"/>
    <x:col min="7" max="7" width="5.889999866485596" hidden="0" customWidth="1"/>
    <x:col min="8" max="8" width="5" hidden="0" customWidth="1"/>
    <x:col min="9" max="9" width="4.329999923706055" hidden="0" customWidth="1"/>
    <x:col min="10" max="10" width="4.78000020980835" hidden="0" customWidth="1"/>
    <x:col min="11" max="11" width="3.890000104904175" hidden="0" customWidth="1"/>
    <x:col min="12" max="12" width="3.890000104904175" hidden="0" customWidth="1"/>
    <x:col min="13" max="13" width="6.889999866485596" hidden="0" customWidth="1"/>
    <x:col min="14" max="14" width="6.889999866485596" hidden="0" customWidth="1"/>
    <x:col min="15" max="15" width="9.4399995803833" hidden="0" customWidth="1"/>
    <x:col min="16" max="16" width="41.779998779296875" hidden="0" customWidth="1"/>
    <x:col min="17" max="17" width="8.109999656677246" hidden="0" customWidth="1"/>
  </x:cols>
  <x:sheetData>
    <x:row r="1" ht="15" hidden="0" customHeight="1">
      <x:c r="A1" s="23" t="str">
        <x:v>client_id</x:v>
      </x:c>
      <x:c r="B1" s="23" t="str">
        <x:v>기준월</x:v>
      </x:c>
      <x:c r="C1" s="23" t="str">
        <x:v>목표매출</x:v>
      </x:c>
      <x:c r="D1" s="23" t="str">
        <x:v>실제매출</x:v>
      </x:c>
      <x:c r="E1" s="23" t="str">
        <x:v>광고비</x:v>
      </x:c>
      <x:c r="F1" s="23" t="str">
        <x:v>구매수</x:v>
      </x:c>
      <x:c r="G1" s="23" t="str">
        <x:v>노출수</x:v>
      </x:c>
      <x:c r="H1" s="23" t="str">
        <x:v>클릭수</x:v>
      </x:c>
      <x:c r="I1" s="23" t="str">
        <x:v>전환수</x:v>
      </x:c>
      <x:c r="J1" s="23" t="str">
        <x:v>ROAS</x:v>
      </x:c>
      <x:c r="K1" s="23" t="str">
        <x:v>CTR</x:v>
      </x:c>
      <x:c r="L1" s="23" t="str">
        <x:v>CVR</x:v>
      </x:c>
      <x:c r="M1" s="23" t="str">
        <x:v>목표달성률</x:v>
      </x:c>
      <x:c r="N1" s="23" t="str">
        <x:v>관리자컨펌</x:v>
      </x:c>
      <x:c r="O1" s="23" t="str">
        <x:v>광고주공유여부</x:v>
      </x:c>
      <x:c r="P1" s="23" t="str">
        <x:v>공개코멘트</x:v>
      </x:c>
      <x:c r="Q1" s="23" t="str">
        <x:v>업데이트일</x:v>
      </x:c>
    </x:row>
    <x:row r="2" ht="15" hidden="0" customHeight="1">
      <x:c r="A2" s="17" t="str">
        <x:v>MI-CLIENT-001</x:v>
      </x:c>
      <x:c r="B2" s="17" t="str">
        <x:v>2026-06</x:v>
      </x:c>
      <x:c r="C2" s="28" t="n">
        <x:v>36000000</x:v>
      </x:c>
      <x:c r="D2" s="28" t="n">
        <x:v>41800000</x:v>
      </x:c>
      <x:c r="E2" s="28" t="n">
        <x:v>7200000</x:v>
      </x:c>
      <x:c r="F2" s="28" t="n">
        <x:v>1248</x:v>
      </x:c>
      <x:c r="G2" s="28" t="n">
        <x:v>890000</x:v>
      </x:c>
      <x:c r="H2" s="28" t="n">
        <x:v>36600</x:v>
      </x:c>
      <x:c r="I2" s="28" t="n">
        <x:v>1761</x:v>
      </x:c>
      <x:c r="J2" s="26" t="n">
        <x:f>IFERROR(D2/E2,0)</x:f>
        <x:v>5.805555555555555</x:v>
      </x:c>
      <x:c r="K2" s="29" t="n">
        <x:f>IFERROR(H2/G2,0)</x:f>
        <x:v>0.04112359550561798</x:v>
      </x:c>
      <x:c r="L2" s="29" t="n">
        <x:f>IFERROR(I2/H2,0)</x:f>
        <x:v>0.048114754098360656</x:v>
      </x:c>
      <x:c r="M2" s="29" t="n">
        <x:f>IFERROR(D2/C2,0)</x:f>
        <x:v>1.1611111111111112</x:v>
      </x:c>
      <x:c r="N2" s="17" t="str">
        <x:v>승인</x:v>
      </x:c>
      <x:c r="O2" s="17" t="str">
        <x:v>Y</x:v>
      </x:c>
      <x:c r="P2" s="17" t="str">
        <x:v>다음 주에는 메타 소재 교체와 쿠팡 키워드 보강을 우선 진행하겠습니다.</x:v>
      </x:c>
      <x:c r="Q2" s="17" t="str">
        <x:v>2026-06-19</x:v>
      </x:c>
    </x:row>
    <x:row r="3" ht="15" hidden="0" customHeight="1">
      <x:c r="A3" s="17" t="str">
        <x:v>MI-CLIENT-002</x:v>
      </x:c>
      <x:c r="B3" s="17" t="str">
        <x:v>2026-06</x:v>
      </x:c>
      <x:c r="C3" s="28" t="n">
        <x:v>18000000</x:v>
      </x:c>
      <x:c r="D3" s="28" t="n">
        <x:v>0</x:v>
      </x:c>
      <x:c r="E3" s="28" t="n">
        <x:v>0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6" t="n">
        <x:f>IFERROR(D3/E3,0)</x:f>
        <x:v>0</x:v>
      </x:c>
      <x:c r="K3" s="29" t="n">
        <x:f>IFERROR(H3/G3,0)</x:f>
        <x:v>0</x:v>
      </x:c>
      <x:c r="L3" s="29" t="n">
        <x:f>IFERROR(I3/H3,0)</x:f>
        <x:v>0</x:v>
      </x:c>
      <x:c r="M3" s="29" t="n">
        <x:f>IFERROR(D3/C3,0)</x:f>
        <x:v>0</x:v>
      </x:c>
      <x:c r="N3" s="17" t="str">
        <x:v>대기</x:v>
      </x:c>
      <x:c r="O3" s="17" t="str">
        <x:v>N</x:v>
      </x:c>
      <x:c r="P3" s="17" t="str">
        <x:v>KPI 목표 입력 후 공개 예정입니다.</x:v>
      </x:c>
      <x:c r="Q3" s="17" t="str">
        <x:v>2026-06-19</x:v>
      </x:c>
    </x:row>
    <x:row r="4" ht="15" hidden="0" customHeight="1">
      <x:c r="A4" s="17" t="str">
        <x:v>MI-CLIENT-003</x:v>
      </x:c>
      <x:c r="B4" s="17" t="str">
        <x:v>2026-06</x:v>
      </x:c>
      <x:c r="C4" s="28" t="n">
        <x:v>26000000</x:v>
      </x:c>
      <x:c r="D4" s="28" t="n">
        <x:v>29100000</x:v>
      </x:c>
      <x:c r="E4" s="28" t="n">
        <x:v>5100000</x:v>
      </x:c>
      <x:c r="F4" s="28" t="n">
        <x:v>890</x:v>
      </x:c>
      <x:c r="G4" s="28" t="n">
        <x:v>612000</x:v>
      </x:c>
      <x:c r="H4" s="28" t="n">
        <x:v>22100</x:v>
      </x:c>
      <x:c r="I4" s="28" t="n">
        <x:v>1030</x:v>
      </x:c>
      <x:c r="J4" s="26" t="n">
        <x:f>IFERROR(D4/E4,0)</x:f>
        <x:v>5.705882352941177</x:v>
      </x:c>
      <x:c r="K4" s="29" t="n">
        <x:f>IFERROR(H4/G4,0)</x:f>
        <x:v>0.03611111111111111</x:v>
      </x:c>
      <x:c r="L4" s="29" t="n">
        <x:f>IFERROR(I4/H4,0)</x:f>
        <x:v>0.04660633484162896</x:v>
      </x:c>
      <x:c r="M4" s="29" t="n">
        <x:f>IFERROR(D4/C4,0)</x:f>
        <x:v>1.1192307692307693</x:v>
      </x:c>
      <x:c r="N4" s="17" t="str">
        <x:v>승인</x:v>
      </x:c>
      <x:c r="O4" s="17" t="str">
        <x:v>Y</x:v>
      </x:c>
      <x:c r="P4" s="17" t="str">
        <x:v>주간 일정과 매출 흐름은 정상입니다.</x:v>
      </x:c>
      <x:c r="Q4" s="17" t="str">
        <x:v>2026-06-19</x:v>
      </x:c>
    </x:row>
    <x:row r="5" ht="15" hidden="0" customHeight="1">
      <x:c r="A5" s="17" t="str"/>
      <x:c r="B5" s="17" t="str"/>
      <x:c r="C5" s="28" t="str"/>
      <x:c r="D5" s="28" t="str"/>
      <x:c r="E5" s="28" t="str"/>
      <x:c r="F5" s="28" t="str"/>
      <x:c r="G5" s="28" t="str"/>
      <x:c r="H5" s="28" t="str"/>
      <x:c r="I5" s="28" t="str"/>
      <x:c r="J5" s="26" t="n">
        <x:f>IFERROR(D5/E5,0)</x:f>
        <x:v>0</x:v>
      </x:c>
      <x:c r="K5" s="29" t="n">
        <x:f>IFERROR(H5/G5,0)</x:f>
        <x:v>0</x:v>
      </x:c>
      <x:c r="L5" s="29" t="n">
        <x:f>IFERROR(I5/H5,0)</x:f>
        <x:v>0</x:v>
      </x:c>
      <x:c r="M5" s="29" t="n">
        <x:f>IFERROR(D5/C5,0)</x:f>
        <x:v>0</x:v>
      </x:c>
      <x:c r="N5" s="17" t="str"/>
      <x:c r="O5" s="17" t="str"/>
      <x:c r="P5" s="17" t="str"/>
      <x:c r="Q5" s="17" t="str"/>
    </x:row>
    <x:row r="6" ht="15" hidden="0" customHeight="1">
      <x:c r="A6" s="17" t="str"/>
      <x:c r="B6" s="17" t="str"/>
      <x:c r="C6" s="28" t="str"/>
      <x:c r="D6" s="28" t="str"/>
      <x:c r="E6" s="28" t="str"/>
      <x:c r="F6" s="28" t="str"/>
      <x:c r="G6" s="28" t="str"/>
      <x:c r="H6" s="28" t="str"/>
      <x:c r="I6" s="28" t="str"/>
      <x:c r="J6" s="26" t="n">
        <x:f>IFERROR(D6/E6,0)</x:f>
        <x:v>0</x:v>
      </x:c>
      <x:c r="K6" s="29" t="n">
        <x:f>IFERROR(H6/G6,0)</x:f>
        <x:v>0</x:v>
      </x:c>
      <x:c r="L6" s="29" t="n">
        <x:f>IFERROR(I6/H6,0)</x:f>
        <x:v>0</x:v>
      </x:c>
      <x:c r="M6" s="29" t="n">
        <x:f>IFERROR(D6/C6,0)</x:f>
        <x:v>0</x:v>
      </x:c>
      <x:c r="N6" s="17" t="str"/>
      <x:c r="O6" s="17" t="str"/>
      <x:c r="P6" s="17" t="str"/>
      <x:c r="Q6" s="17" t="str"/>
    </x:row>
    <x:row r="7" ht="15" hidden="0" customHeight="1">
      <x:c r="A7" s="17"/>
      <x:c r="B7" s="17"/>
      <x:c r="C7" s="28"/>
      <x:c r="D7" s="28"/>
      <x:c r="E7" s="28"/>
      <x:c r="F7" s="28"/>
      <x:c r="G7" s="28"/>
      <x:c r="H7" s="28"/>
      <x:c r="I7" s="28"/>
      <x:c r="J7" s="26" t="n">
        <x:f>IFERROR(D7/E7,0)</x:f>
        <x:v>0</x:v>
      </x:c>
      <x:c r="K7" s="29" t="n">
        <x:f>IFERROR(H7/G7,0)</x:f>
        <x:v>0</x:v>
      </x:c>
      <x:c r="L7" s="29" t="n">
        <x:f>IFERROR(I7/H7,0)</x:f>
        <x:v>0</x:v>
      </x:c>
      <x:c r="M7" s="29" t="n">
        <x:f>IFERROR(D7/C7,0)</x:f>
        <x:v>0</x:v>
      </x:c>
      <x:c r="N7" s="17"/>
      <x:c r="O7" s="17"/>
      <x:c r="P7" s="17"/>
      <x:c r="Q7" s="17"/>
    </x:row>
    <x:row r="8" ht="15" hidden="0" customHeight="1">
      <x:c r="A8" s="17"/>
      <x:c r="B8" s="17"/>
      <x:c r="C8" s="28"/>
      <x:c r="D8" s="28"/>
      <x:c r="E8" s="28"/>
      <x:c r="F8" s="28"/>
      <x:c r="G8" s="28"/>
      <x:c r="H8" s="28"/>
      <x:c r="I8" s="28"/>
      <x:c r="J8" s="26" t="n">
        <x:f>IFERROR(D8/E8,0)</x:f>
        <x:v>0</x:v>
      </x:c>
      <x:c r="K8" s="29" t="n">
        <x:f>IFERROR(H8/G8,0)</x:f>
        <x:v>0</x:v>
      </x:c>
      <x:c r="L8" s="29" t="n">
        <x:f>IFERROR(I8/H8,0)</x:f>
        <x:v>0</x:v>
      </x:c>
      <x:c r="M8" s="29" t="n">
        <x:f>IFERROR(D8/C8,0)</x:f>
        <x:v>0</x:v>
      </x:c>
      <x:c r="N8" s="17"/>
      <x:c r="O8" s="17"/>
      <x:c r="P8" s="17"/>
      <x:c r="Q8" s="17"/>
    </x:row>
    <x:row r="9" ht="15" hidden="0" customHeight="1">
      <x:c r="A9" s="17"/>
      <x:c r="B9" s="17"/>
      <x:c r="C9" s="28"/>
      <x:c r="D9" s="28"/>
      <x:c r="E9" s="28"/>
      <x:c r="F9" s="28"/>
      <x:c r="G9" s="28"/>
      <x:c r="H9" s="28"/>
      <x:c r="I9" s="28"/>
      <x:c r="J9" s="26" t="n">
        <x:f>IFERROR(D9/E9,0)</x:f>
        <x:v>0</x:v>
      </x:c>
      <x:c r="K9" s="29" t="n">
        <x:f>IFERROR(H9/G9,0)</x:f>
        <x:v>0</x:v>
      </x:c>
      <x:c r="L9" s="29" t="n">
        <x:f>IFERROR(I9/H9,0)</x:f>
        <x:v>0</x:v>
      </x:c>
      <x:c r="M9" s="29" t="n">
        <x:f>IFERROR(D9/C9,0)</x:f>
        <x:v>0</x:v>
      </x:c>
      <x:c r="N9" s="17"/>
      <x:c r="O9" s="17"/>
      <x:c r="P9" s="17"/>
      <x:c r="Q9" s="17"/>
    </x:row>
    <x:row r="10" ht="15" hidden="0" customHeight="1">
      <x:c r="A10" s="17"/>
      <x:c r="B10" s="17"/>
      <x:c r="C10" s="28"/>
      <x:c r="D10" s="28"/>
      <x:c r="E10" s="28"/>
      <x:c r="F10" s="28"/>
      <x:c r="G10" s="28"/>
      <x:c r="H10" s="28"/>
      <x:c r="I10" s="28"/>
      <x:c r="J10" s="26" t="n">
        <x:f>IFERROR(D10/E10,0)</x:f>
        <x:v>0</x:v>
      </x:c>
      <x:c r="K10" s="29" t="n">
        <x:f>IFERROR(H10/G10,0)</x:f>
        <x:v>0</x:v>
      </x:c>
      <x:c r="L10" s="29" t="n">
        <x:f>IFERROR(I10/H10,0)</x:f>
        <x:v>0</x:v>
      </x:c>
      <x:c r="M10" s="29" t="n">
        <x:f>IFERROR(D10/C10,0)</x:f>
        <x:v>0</x:v>
      </x:c>
      <x:c r="N10" s="17"/>
      <x:c r="O10" s="17"/>
      <x:c r="P10" s="17"/>
      <x:c r="Q10" s="17"/>
    </x:row>
    <x:row r="11" ht="15" hidden="0" customHeight="1">
      <x:c r="A11" s="17"/>
      <x:c r="B11" s="17"/>
      <x:c r="C11" s="28"/>
      <x:c r="D11" s="28"/>
      <x:c r="E11" s="28"/>
      <x:c r="F11" s="28"/>
      <x:c r="G11" s="28"/>
      <x:c r="H11" s="28"/>
      <x:c r="I11" s="28"/>
      <x:c r="J11" s="26" t="n">
        <x:f>IFERROR(D11/E11,0)</x:f>
        <x:v>0</x:v>
      </x:c>
      <x:c r="K11" s="29" t="n">
        <x:f>IFERROR(H11/G11,0)</x:f>
        <x:v>0</x:v>
      </x:c>
      <x:c r="L11" s="29" t="n">
        <x:f>IFERROR(I11/H11,0)</x:f>
        <x:v>0</x:v>
      </x:c>
      <x:c r="M11" s="29" t="n">
        <x:f>IFERROR(D11/C11,0)</x:f>
        <x:v>0</x:v>
      </x:c>
      <x:c r="N11" s="17"/>
      <x:c r="O11" s="17"/>
      <x:c r="P11" s="17"/>
      <x:c r="Q11" s="17"/>
    </x:row>
    <x:row r="12" ht="15" hidden="0" customHeight="1">
      <x:c r="A12" s="17"/>
      <x:c r="B12" s="17"/>
      <x:c r="C12" s="28"/>
      <x:c r="D12" s="28"/>
      <x:c r="E12" s="28"/>
      <x:c r="F12" s="28"/>
      <x:c r="G12" s="28"/>
      <x:c r="H12" s="28"/>
      <x:c r="I12" s="28"/>
      <x:c r="J12" s="26" t="n">
        <x:f>IFERROR(D12/E12,0)</x:f>
        <x:v>0</x:v>
      </x:c>
      <x:c r="K12" s="29" t="n">
        <x:f>IFERROR(H12/G12,0)</x:f>
        <x:v>0</x:v>
      </x:c>
      <x:c r="L12" s="29" t="n">
        <x:f>IFERROR(I12/H12,0)</x:f>
        <x:v>0</x:v>
      </x:c>
      <x:c r="M12" s="29" t="n">
        <x:f>IFERROR(D12/C12,0)</x:f>
        <x:v>0</x:v>
      </x:c>
      <x:c r="N12" s="17"/>
      <x:c r="O12" s="17"/>
      <x:c r="P12" s="17"/>
      <x:c r="Q12" s="17"/>
    </x:row>
    <x:row r="13" ht="15" hidden="0" customHeight="1">
      <x:c r="A13" s="17"/>
      <x:c r="B13" s="17"/>
      <x:c r="C13" s="28"/>
      <x:c r="D13" s="28"/>
      <x:c r="E13" s="28"/>
      <x:c r="F13" s="28"/>
      <x:c r="G13" s="28"/>
      <x:c r="H13" s="28"/>
      <x:c r="I13" s="28"/>
      <x:c r="J13" s="26" t="n">
        <x:f>IFERROR(D13/E13,0)</x:f>
        <x:v>0</x:v>
      </x:c>
      <x:c r="K13" s="29" t="n">
        <x:f>IFERROR(H13/G13,0)</x:f>
        <x:v>0</x:v>
      </x:c>
      <x:c r="L13" s="29" t="n">
        <x:f>IFERROR(I13/H13,0)</x:f>
        <x:v>0</x:v>
      </x:c>
      <x:c r="M13" s="29" t="n">
        <x:f>IFERROR(D13/C13,0)</x:f>
        <x:v>0</x:v>
      </x:c>
      <x:c r="N13" s="17"/>
      <x:c r="O13" s="17"/>
      <x:c r="P13" s="17"/>
      <x:c r="Q13" s="17"/>
    </x:row>
    <x:row r="14" ht="15" hidden="0" customHeight="1">
      <x:c r="A14" s="17"/>
      <x:c r="B14" s="17"/>
      <x:c r="C14" s="28"/>
      <x:c r="D14" s="28"/>
      <x:c r="E14" s="28"/>
      <x:c r="F14" s="28"/>
      <x:c r="G14" s="28"/>
      <x:c r="H14" s="28"/>
      <x:c r="I14" s="28"/>
      <x:c r="J14" s="26" t="n">
        <x:f>IFERROR(D14/E14,0)</x:f>
        <x:v>0</x:v>
      </x:c>
      <x:c r="K14" s="29" t="n">
        <x:f>IFERROR(H14/G14,0)</x:f>
        <x:v>0</x:v>
      </x:c>
      <x:c r="L14" s="29" t="n">
        <x:f>IFERROR(I14/H14,0)</x:f>
        <x:v>0</x:v>
      </x:c>
      <x:c r="M14" s="29" t="n">
        <x:f>IFERROR(D14/C14,0)</x:f>
        <x:v>0</x:v>
      </x:c>
      <x:c r="N14" s="17"/>
      <x:c r="O14" s="17"/>
      <x:c r="P14" s="17"/>
      <x:c r="Q14" s="17"/>
    </x:row>
    <x:row r="15" ht="15" hidden="0" customHeight="1">
      <x:c r="A15" s="17"/>
      <x:c r="B15" s="17"/>
      <x:c r="C15" s="28"/>
      <x:c r="D15" s="28"/>
      <x:c r="E15" s="28"/>
      <x:c r="F15" s="28"/>
      <x:c r="G15" s="28"/>
      <x:c r="H15" s="28"/>
      <x:c r="I15" s="28"/>
      <x:c r="J15" s="26" t="n">
        <x:f>IFERROR(D15/E15,0)</x:f>
        <x:v>0</x:v>
      </x:c>
      <x:c r="K15" s="29" t="n">
        <x:f>IFERROR(H15/G15,0)</x:f>
        <x:v>0</x:v>
      </x:c>
      <x:c r="L15" s="29" t="n">
        <x:f>IFERROR(I15/H15,0)</x:f>
        <x:v>0</x:v>
      </x:c>
      <x:c r="M15" s="29" t="n">
        <x:f>IFERROR(D15/C15,0)</x:f>
        <x:v>0</x:v>
      </x:c>
      <x:c r="N15" s="17"/>
      <x:c r="O15" s="17"/>
      <x:c r="P15" s="17"/>
      <x:c r="Q15" s="17"/>
    </x:row>
    <x:row r="16" ht="15" hidden="0" customHeight="1">
      <x:c r="A16" s="17"/>
      <x:c r="B16" s="17"/>
      <x:c r="C16" s="28"/>
      <x:c r="D16" s="28"/>
      <x:c r="E16" s="28"/>
      <x:c r="F16" s="28"/>
      <x:c r="G16" s="28"/>
      <x:c r="H16" s="28"/>
      <x:c r="I16" s="28"/>
      <x:c r="J16" s="26" t="n">
        <x:f>IFERROR(D16/E16,0)</x:f>
        <x:v>0</x:v>
      </x:c>
      <x:c r="K16" s="29" t="n">
        <x:f>IFERROR(H16/G16,0)</x:f>
        <x:v>0</x:v>
      </x:c>
      <x:c r="L16" s="29" t="n">
        <x:f>IFERROR(I16/H16,0)</x:f>
        <x:v>0</x:v>
      </x:c>
      <x:c r="M16" s="29" t="n">
        <x:f>IFERROR(D16/C16,0)</x:f>
        <x:v>0</x:v>
      </x:c>
      <x:c r="N16" s="17"/>
      <x:c r="O16" s="17"/>
      <x:c r="P16" s="17"/>
      <x:c r="Q16" s="17"/>
    </x:row>
    <x:row r="17" ht="15" hidden="0" customHeight="1">
      <x:c r="A17" s="17"/>
      <x:c r="B17" s="17"/>
      <x:c r="C17" s="28"/>
      <x:c r="D17" s="28"/>
      <x:c r="E17" s="28"/>
      <x:c r="F17" s="28"/>
      <x:c r="G17" s="28"/>
      <x:c r="H17" s="28"/>
      <x:c r="I17" s="28"/>
      <x:c r="J17" s="26" t="n">
        <x:f>IFERROR(D17/E17,0)</x:f>
        <x:v>0</x:v>
      </x:c>
      <x:c r="K17" s="29" t="n">
        <x:f>IFERROR(H17/G17,0)</x:f>
        <x:v>0</x:v>
      </x:c>
      <x:c r="L17" s="29" t="n">
        <x:f>IFERROR(I17/H17,0)</x:f>
        <x:v>0</x:v>
      </x:c>
      <x:c r="M17" s="29" t="n">
        <x:f>IFERROR(D17/C17,0)</x:f>
        <x:v>0</x:v>
      </x:c>
      <x:c r="N17" s="17"/>
      <x:c r="O17" s="17"/>
      <x:c r="P17" s="17"/>
      <x:c r="Q17" s="17"/>
    </x:row>
    <x:row r="18" ht="15" hidden="0" customHeight="1">
      <x:c r="A18" s="17"/>
      <x:c r="B18" s="17"/>
      <x:c r="C18" s="28"/>
      <x:c r="D18" s="28"/>
      <x:c r="E18" s="28"/>
      <x:c r="F18" s="28"/>
      <x:c r="G18" s="28"/>
      <x:c r="H18" s="28"/>
      <x:c r="I18" s="28"/>
      <x:c r="J18" s="26" t="n">
        <x:f>IFERROR(D18/E18,0)</x:f>
        <x:v>0</x:v>
      </x:c>
      <x:c r="K18" s="29" t="n">
        <x:f>IFERROR(H18/G18,0)</x:f>
        <x:v>0</x:v>
      </x:c>
      <x:c r="L18" s="29" t="n">
        <x:f>IFERROR(I18/H18,0)</x:f>
        <x:v>0</x:v>
      </x:c>
      <x:c r="M18" s="29" t="n">
        <x:f>IFERROR(D18/C18,0)</x:f>
        <x:v>0</x:v>
      </x:c>
      <x:c r="N18" s="17"/>
      <x:c r="O18" s="17"/>
      <x:c r="P18" s="17"/>
      <x:c r="Q18" s="17"/>
    </x:row>
    <x:row r="19" ht="15" hidden="0" customHeight="1">
      <x:c r="A19" s="17"/>
      <x:c r="B19" s="17"/>
      <x:c r="C19" s="28"/>
      <x:c r="D19" s="28"/>
      <x:c r="E19" s="28"/>
      <x:c r="F19" s="28"/>
      <x:c r="G19" s="28"/>
      <x:c r="H19" s="28"/>
      <x:c r="I19" s="28"/>
      <x:c r="J19" s="26" t="n">
        <x:f>IFERROR(D19/E19,0)</x:f>
        <x:v>0</x:v>
      </x:c>
      <x:c r="K19" s="29" t="n">
        <x:f>IFERROR(H19/G19,0)</x:f>
        <x:v>0</x:v>
      </x:c>
      <x:c r="L19" s="29" t="n">
        <x:f>IFERROR(I19/H19,0)</x:f>
        <x:v>0</x:v>
      </x:c>
      <x:c r="M19" s="29" t="n">
        <x:f>IFERROR(D19/C19,0)</x:f>
        <x:v>0</x:v>
      </x:c>
      <x:c r="N19" s="17"/>
      <x:c r="O19" s="17"/>
      <x:c r="P19" s="17"/>
      <x:c r="Q19" s="17"/>
    </x:row>
    <x:row r="20" ht="15" hidden="0" customHeight="1">
      <x:c r="A20" s="17"/>
      <x:c r="B20" s="17"/>
      <x:c r="C20" s="28"/>
      <x:c r="D20" s="28"/>
      <x:c r="E20" s="28"/>
      <x:c r="F20" s="28"/>
      <x:c r="G20" s="28"/>
      <x:c r="H20" s="28"/>
      <x:c r="I20" s="28"/>
      <x:c r="J20" s="26" t="n">
        <x:f>IFERROR(D20/E20,0)</x:f>
        <x:v>0</x:v>
      </x:c>
      <x:c r="K20" s="29" t="n">
        <x:f>IFERROR(H20/G20,0)</x:f>
        <x:v>0</x:v>
      </x:c>
      <x:c r="L20" s="29" t="n">
        <x:f>IFERROR(I20/H20,0)</x:f>
        <x:v>0</x:v>
      </x:c>
      <x:c r="M20" s="29" t="n">
        <x:f>IFERROR(D20/C20,0)</x:f>
        <x:v>0</x:v>
      </x:c>
      <x:c r="N20" s="17"/>
      <x:c r="O20" s="17"/>
      <x:c r="P20" s="17"/>
      <x:c r="Q20" s="17"/>
    </x:row>
    <x:row r="21" ht="15" hidden="0" customHeight="1">
      <x:c r="A21" s="17"/>
      <x:c r="B21" s="17"/>
      <x:c r="C21" s="28"/>
      <x:c r="D21" s="28"/>
      <x:c r="E21" s="28"/>
      <x:c r="F21" s="28"/>
      <x:c r="G21" s="28"/>
      <x:c r="H21" s="28"/>
      <x:c r="I21" s="28"/>
      <x:c r="J21" s="26" t="n">
        <x:f>IFERROR(D21/E21,0)</x:f>
        <x:v>0</x:v>
      </x:c>
      <x:c r="K21" s="29" t="n">
        <x:f>IFERROR(H21/G21,0)</x:f>
        <x:v>0</x:v>
      </x:c>
      <x:c r="L21" s="29" t="n">
        <x:f>IFERROR(I21/H21,0)</x:f>
        <x:v>0</x:v>
      </x:c>
      <x:c r="M21" s="29" t="n">
        <x:f>IFERROR(D21/C21,0)</x:f>
        <x:v>0</x:v>
      </x:c>
      <x:c r="N21" s="17"/>
      <x:c r="O21" s="17"/>
      <x:c r="P21" s="17"/>
      <x:c r="Q21" s="17"/>
    </x:row>
    <x:row r="22" ht="15" hidden="0" customHeight="1">
      <x:c r="A22" s="17"/>
      <x:c r="B22" s="17"/>
      <x:c r="C22" s="28"/>
      <x:c r="D22" s="28"/>
      <x:c r="E22" s="28"/>
      <x:c r="F22" s="28"/>
      <x:c r="G22" s="28"/>
      <x:c r="H22" s="28"/>
      <x:c r="I22" s="28"/>
      <x:c r="J22" s="26" t="n">
        <x:f>IFERROR(D22/E22,0)</x:f>
        <x:v>0</x:v>
      </x:c>
      <x:c r="K22" s="29" t="n">
        <x:f>IFERROR(H22/G22,0)</x:f>
        <x:v>0</x:v>
      </x:c>
      <x:c r="L22" s="29" t="n">
        <x:f>IFERROR(I22/H22,0)</x:f>
        <x:v>0</x:v>
      </x:c>
      <x:c r="M22" s="29" t="n">
        <x:f>IFERROR(D22/C22,0)</x:f>
        <x:v>0</x:v>
      </x:c>
      <x:c r="N22" s="17"/>
      <x:c r="O22" s="17"/>
      <x:c r="P22" s="17"/>
      <x:c r="Q22" s="17"/>
    </x:row>
    <x:row r="23" ht="15" hidden="0" customHeight="1">
      <x:c r="A23" s="17"/>
      <x:c r="B23" s="17"/>
      <x:c r="C23" s="28"/>
      <x:c r="D23" s="28"/>
      <x:c r="E23" s="28"/>
      <x:c r="F23" s="28"/>
      <x:c r="G23" s="28"/>
      <x:c r="H23" s="28"/>
      <x:c r="I23" s="28"/>
      <x:c r="J23" s="26" t="n">
        <x:f>IFERROR(D23/E23,0)</x:f>
        <x:v>0</x:v>
      </x:c>
      <x:c r="K23" s="29" t="n">
        <x:f>IFERROR(H23/G23,0)</x:f>
        <x:v>0</x:v>
      </x:c>
      <x:c r="L23" s="29" t="n">
        <x:f>IFERROR(I23/H23,0)</x:f>
        <x:v>0</x:v>
      </x:c>
      <x:c r="M23" s="29" t="n">
        <x:f>IFERROR(D23/C23,0)</x:f>
        <x:v>0</x:v>
      </x:c>
      <x:c r="N23" s="17"/>
      <x:c r="O23" s="17"/>
      <x:c r="P23" s="17"/>
      <x:c r="Q23" s="17"/>
    </x:row>
    <x:row r="24" ht="15" hidden="0" customHeight="1">
      <x:c r="A24" s="17"/>
      <x:c r="B24" s="17"/>
      <x:c r="C24" s="28"/>
      <x:c r="D24" s="28"/>
      <x:c r="E24" s="28"/>
      <x:c r="F24" s="28"/>
      <x:c r="G24" s="28"/>
      <x:c r="H24" s="28"/>
      <x:c r="I24" s="28"/>
      <x:c r="J24" s="26" t="n">
        <x:f>IFERROR(D24/E24,0)</x:f>
        <x:v>0</x:v>
      </x:c>
      <x:c r="K24" s="29" t="n">
        <x:f>IFERROR(H24/G24,0)</x:f>
        <x:v>0</x:v>
      </x:c>
      <x:c r="L24" s="29" t="n">
        <x:f>IFERROR(I24/H24,0)</x:f>
        <x:v>0</x:v>
      </x:c>
      <x:c r="M24" s="29" t="n">
        <x:f>IFERROR(D24/C24,0)</x:f>
        <x:v>0</x:v>
      </x:c>
      <x:c r="N24" s="17"/>
      <x:c r="O24" s="17"/>
      <x:c r="P24" s="17"/>
      <x:c r="Q24" s="17"/>
    </x:row>
    <x:row r="25" ht="15" hidden="0" customHeight="1">
      <x:c r="A25" s="17"/>
      <x:c r="B25" s="17"/>
      <x:c r="C25" s="28"/>
      <x:c r="D25" s="28"/>
      <x:c r="E25" s="28"/>
      <x:c r="F25" s="28"/>
      <x:c r="G25" s="28"/>
      <x:c r="H25" s="28"/>
      <x:c r="I25" s="28"/>
      <x:c r="J25" s="26" t="n">
        <x:f>IFERROR(D25/E25,0)</x:f>
        <x:v>0</x:v>
      </x:c>
      <x:c r="K25" s="29" t="n">
        <x:f>IFERROR(H25/G25,0)</x:f>
        <x:v>0</x:v>
      </x:c>
      <x:c r="L25" s="29" t="n">
        <x:f>IFERROR(I25/H25,0)</x:f>
        <x:v>0</x:v>
      </x:c>
      <x:c r="M25" s="29" t="n">
        <x:f>IFERROR(D25/C25,0)</x:f>
        <x:v>0</x:v>
      </x:c>
      <x:c r="N25" s="17"/>
      <x:c r="O25" s="17"/>
      <x:c r="P25" s="17"/>
      <x:c r="Q25" s="17"/>
    </x:row>
    <x:row r="26" ht="15" hidden="0" customHeight="1">
      <x:c r="A26" s="17"/>
      <x:c r="B26" s="17"/>
      <x:c r="C26" s="28"/>
      <x:c r="D26" s="28"/>
      <x:c r="E26" s="28"/>
      <x:c r="F26" s="28"/>
      <x:c r="G26" s="28"/>
      <x:c r="H26" s="28"/>
      <x:c r="I26" s="28"/>
      <x:c r="J26" s="26" t="n">
        <x:f>IFERROR(D26/E26,0)</x:f>
        <x:v>0</x:v>
      </x:c>
      <x:c r="K26" s="29" t="n">
        <x:f>IFERROR(H26/G26,0)</x:f>
        <x:v>0</x:v>
      </x:c>
      <x:c r="L26" s="29" t="n">
        <x:f>IFERROR(I26/H26,0)</x:f>
        <x:v>0</x:v>
      </x:c>
      <x:c r="M26" s="29" t="n">
        <x:f>IFERROR(D26/C26,0)</x:f>
        <x:v>0</x:v>
      </x:c>
      <x:c r="N26" s="17"/>
      <x:c r="O26" s="17"/>
      <x:c r="P26" s="17"/>
      <x:c r="Q26" s="17"/>
    </x:row>
    <x:row r="27" ht="15" hidden="0" customHeight="1">
      <x:c r="A27" s="17"/>
      <x:c r="B27" s="17"/>
      <x:c r="C27" s="28"/>
      <x:c r="D27" s="28"/>
      <x:c r="E27" s="28"/>
      <x:c r="F27" s="28"/>
      <x:c r="G27" s="28"/>
      <x:c r="H27" s="28"/>
      <x:c r="I27" s="28"/>
      <x:c r="J27" s="26" t="n">
        <x:f>IFERROR(D27/E27,0)</x:f>
        <x:v>0</x:v>
      </x:c>
      <x:c r="K27" s="29" t="n">
        <x:f>IFERROR(H27/G27,0)</x:f>
        <x:v>0</x:v>
      </x:c>
      <x:c r="L27" s="29" t="n">
        <x:f>IFERROR(I27/H27,0)</x:f>
        <x:v>0</x:v>
      </x:c>
      <x:c r="M27" s="29" t="n">
        <x:f>IFERROR(D27/C27,0)</x:f>
        <x:v>0</x:v>
      </x:c>
      <x:c r="N27" s="17"/>
      <x:c r="O27" s="17"/>
      <x:c r="P27" s="17"/>
      <x:c r="Q27" s="17"/>
    </x:row>
    <x:row r="28" ht="15" hidden="0" customHeight="1">
      <x:c r="A28" s="17"/>
      <x:c r="B28" s="17"/>
      <x:c r="C28" s="28"/>
      <x:c r="D28" s="28"/>
      <x:c r="E28" s="28"/>
      <x:c r="F28" s="28"/>
      <x:c r="G28" s="28"/>
      <x:c r="H28" s="28"/>
      <x:c r="I28" s="28"/>
      <x:c r="J28" s="26" t="n">
        <x:f>IFERROR(D28/E28,0)</x:f>
        <x:v>0</x:v>
      </x:c>
      <x:c r="K28" s="29" t="n">
        <x:f>IFERROR(H28/G28,0)</x:f>
        <x:v>0</x:v>
      </x:c>
      <x:c r="L28" s="29" t="n">
        <x:f>IFERROR(I28/H28,0)</x:f>
        <x:v>0</x:v>
      </x:c>
      <x:c r="M28" s="29" t="n">
        <x:f>IFERROR(D28/C28,0)</x:f>
        <x:v>0</x:v>
      </x:c>
      <x:c r="N28" s="17"/>
      <x:c r="O28" s="17"/>
      <x:c r="P28" s="17"/>
      <x:c r="Q28" s="17"/>
    </x:row>
    <x:row r="29" ht="15" hidden="0" customHeight="1">
      <x:c r="A29" s="17"/>
      <x:c r="B29" s="17"/>
      <x:c r="C29" s="28"/>
      <x:c r="D29" s="28"/>
      <x:c r="E29" s="28"/>
      <x:c r="F29" s="28"/>
      <x:c r="G29" s="28"/>
      <x:c r="H29" s="28"/>
      <x:c r="I29" s="28"/>
      <x:c r="J29" s="26" t="n">
        <x:f>IFERROR(D29/E29,0)</x:f>
        <x:v>0</x:v>
      </x:c>
      <x:c r="K29" s="29" t="n">
        <x:f>IFERROR(H29/G29,0)</x:f>
        <x:v>0</x:v>
      </x:c>
      <x:c r="L29" s="29" t="n">
        <x:f>IFERROR(I29/H29,0)</x:f>
        <x:v>0</x:v>
      </x:c>
      <x:c r="M29" s="29" t="n">
        <x:f>IFERROR(D29/C29,0)</x:f>
        <x:v>0</x:v>
      </x:c>
      <x:c r="N29" s="17"/>
      <x:c r="O29" s="17"/>
      <x:c r="P29" s="17"/>
      <x:c r="Q29" s="17"/>
    </x:row>
    <x:row r="30" ht="15" hidden="0" customHeight="1">
      <x:c r="A30" s="17"/>
      <x:c r="B30" s="17"/>
      <x:c r="C30" s="28"/>
      <x:c r="D30" s="28"/>
      <x:c r="E30" s="28"/>
      <x:c r="F30" s="28"/>
      <x:c r="G30" s="28"/>
      <x:c r="H30" s="28"/>
      <x:c r="I30" s="28"/>
      <x:c r="J30" s="26" t="n">
        <x:f>IFERROR(D30/E30,0)</x:f>
        <x:v>0</x:v>
      </x:c>
      <x:c r="K30" s="29" t="n">
        <x:f>IFERROR(H30/G30,0)</x:f>
        <x:v>0</x:v>
      </x:c>
      <x:c r="L30" s="29" t="n">
        <x:f>IFERROR(I30/H30,0)</x:f>
        <x:v>0</x:v>
      </x:c>
      <x:c r="M30" s="29" t="n">
        <x:f>IFERROR(D30/C30,0)</x:f>
        <x:v>0</x:v>
      </x:c>
      <x:c r="N30" s="17"/>
      <x:c r="O30" s="17"/>
      <x:c r="P30" s="17"/>
      <x:c r="Q3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8.109999656677246" hidden="0" customWidth="1"/>
    <x:col min="3" max="3" width="11.5600004196167" hidden="0" customWidth="1"/>
    <x:col min="4" max="4" width="7.110000133514404" hidden="0" customWidth="1"/>
    <x:col min="5" max="5" width="7.889999866485596" hidden="0" customWidth="1"/>
    <x:col min="6" max="6" width="5.889999866485596" hidden="0" customWidth="1"/>
    <x:col min="7" max="7" width="5" hidden="0" customWidth="1"/>
    <x:col min="8" max="8" width="4.329999923706055" hidden="0" customWidth="1"/>
    <x:col min="9" max="9" width="4.329999923706055" hidden="0" customWidth="1"/>
    <x:col min="10" max="10" width="4.78000020980835" hidden="0" customWidth="1"/>
    <x:col min="11" max="11" width="3.890000104904175" hidden="0" customWidth="1"/>
    <x:col min="12" max="12" width="3.890000104904175" hidden="0" customWidth="1"/>
    <x:col min="13" max="13" width="4.21999979019165" hidden="0" customWidth="1"/>
    <x:col min="14" max="14" width="3.6700000762939453" hidden="0" customWidth="1"/>
    <x:col min="15" max="15" width="6.889999866485596" hidden="0" customWidth="1"/>
    <x:col min="16" max="16" width="9.4399995803833" hidden="0" customWidth="1"/>
  </x:cols>
  <x:sheetData>
    <x:row r="1" ht="15" hidden="0" customHeight="1">
      <x:c r="A1" s="23" t="str">
        <x:v>client_id</x:v>
      </x:c>
      <x:c r="B1" s="23" t="str">
        <x:v>일자</x:v>
      </x:c>
      <x:c r="C1" s="23" t="str">
        <x:v>캠페인</x:v>
      </x:c>
      <x:c r="D1" s="23" t="str">
        <x:v>광고비</x:v>
      </x:c>
      <x:c r="E1" s="23" t="str">
        <x:v>매출</x:v>
      </x:c>
      <x:c r="F1" s="23" t="str">
        <x:v>노출수</x:v>
      </x:c>
      <x:c r="G1" s="23" t="str">
        <x:v>클릭수</x:v>
      </x:c>
      <x:c r="H1" s="23" t="str">
        <x:v>전환수</x:v>
      </x:c>
      <x:c r="I1" s="23" t="str">
        <x:v>구매수</x:v>
      </x:c>
      <x:c r="J1" s="23" t="str">
        <x:v>ROAS</x:v>
      </x:c>
      <x:c r="K1" s="23" t="str">
        <x:v>CTR</x:v>
      </x:c>
      <x:c r="L1" s="23" t="str">
        <x:v>CVR</x:v>
      </x:c>
      <x:c r="M1" s="23" t="str">
        <x:v>CPA</x:v>
      </x:c>
      <x:c r="N1" s="23" t="str">
        <x:v>CPC</x:v>
      </x:c>
      <x:c r="O1" s="23" t="str">
        <x:v>관리자컨펌</x:v>
      </x:c>
      <x:c r="P1" s="23" t="str">
        <x:v>광고주공유여부</x:v>
      </x:c>
    </x:row>
    <x:row r="2" ht="15" hidden="0" customHeight="1">
      <x:c r="A2" s="17" t="str">
        <x:v>MI-CLIENT-001</x:v>
      </x:c>
      <x:c r="B2" s="17" t="str">
        <x:v>2026-06-19</x:v>
      </x:c>
      <x:c r="C2" s="17" t="str">
        <x:v>브랜드 검색 캠페인</x:v>
      </x:c>
      <x:c r="D2" s="28" t="n">
        <x:v>3200000</x:v>
      </x:c>
      <x:c r="E2" s="28" t="n">
        <x:v>18600000</x:v>
      </x:c>
      <x:c r="F2" s="28" t="n">
        <x:v>510000</x:v>
      </x:c>
      <x:c r="G2" s="28" t="n">
        <x:v>19400</x:v>
      </x:c>
      <x:c r="H2" s="28" t="n">
        <x:v>951</x:v>
      </x:c>
      <x:c r="I2" s="28" t="n">
        <x:v>642</x:v>
      </x:c>
      <x:c r="J2" s="26" t="n">
        <x:f>IFERROR(E2/D2,0)</x:f>
        <x:v>5.8125</x:v>
      </x:c>
      <x:c r="K2" s="29" t="n">
        <x:f>IFERROR(G2/F2,0)</x:f>
        <x:v>0.03803921568627451</x:v>
      </x:c>
      <x:c r="L2" s="29" t="n">
        <x:f>IFERROR(H2/G2,0)</x:f>
        <x:v>0.04902061855670103</x:v>
      </x:c>
      <x:c r="M2" s="25" t="n">
        <x:f>IFERROR(D2/H2,0)</x:f>
        <x:v>3364.8790746582545</x:v>
      </x:c>
      <x:c r="N2" s="25" t="n">
        <x:f>IFERROR(D2/G2,0)</x:f>
        <x:v>164.94845360824743</x:v>
      </x:c>
      <x:c r="O2" s="17" t="str">
        <x:v>승인</x:v>
      </x:c>
      <x:c r="P2" s="17" t="str">
        <x:v>Y</x:v>
      </x:c>
    </x:row>
    <x:row r="3" ht="15" hidden="0" customHeight="1">
      <x:c r="A3" s="17" t="str">
        <x:v>MI-CLIENT-003</x:v>
      </x:c>
      <x:c r="B3" s="17" t="str">
        <x:v>2026-06-19</x:v>
      </x:c>
      <x:c r="C3" s="17" t="str">
        <x:v>검색 확장 캠페인</x:v>
      </x:c>
      <x:c r="D3" s="28" t="n">
        <x:v>1800000</x:v>
      </x:c>
      <x:c r="E3" s="28" t="n">
        <x:v>9400000</x:v>
      </x:c>
      <x:c r="F3" s="28" t="n">
        <x:v>220000</x:v>
      </x:c>
      <x:c r="G3" s="28" t="n">
        <x:v>8600</x:v>
      </x:c>
      <x:c r="H3" s="28" t="n">
        <x:v>412</x:v>
      </x:c>
      <x:c r="I3" s="28" t="n">
        <x:v>301</x:v>
      </x:c>
      <x:c r="J3" s="26" t="n">
        <x:f>IFERROR(E3/D3,0)</x:f>
        <x:v>5.222222222222222</x:v>
      </x:c>
      <x:c r="K3" s="29" t="n">
        <x:f>IFERROR(G3/F3,0)</x:f>
        <x:v>0.03909090909090909</x:v>
      </x:c>
      <x:c r="L3" s="29" t="n">
        <x:f>IFERROR(H3/G3,0)</x:f>
        <x:v>0.04790697674418604</x:v>
      </x:c>
      <x:c r="M3" s="25" t="n">
        <x:f>IFERROR(D3/H3,0)</x:f>
        <x:v>4368.9320388349515</x:v>
      </x:c>
      <x:c r="N3" s="25" t="n">
        <x:f>IFERROR(D3/G3,0)</x:f>
        <x:v>209.30232558139534</x:v>
      </x:c>
      <x:c r="O3" s="17" t="str">
        <x:v>승인</x:v>
      </x:c>
      <x:c r="P3" s="17" t="str">
        <x:v>Y</x:v>
      </x:c>
    </x:row>
    <x:row r="4" ht="15" hidden="0" customHeight="1">
      <x:c r="A4" s="17" t="str"/>
      <x:c r="B4" s="17" t="str"/>
      <x:c r="C4" s="17" t="str"/>
      <x:c r="D4" s="28" t="str"/>
      <x:c r="E4" s="28" t="str"/>
      <x:c r="F4" s="28" t="str"/>
      <x:c r="G4" s="28" t="str"/>
      <x:c r="H4" s="28" t="str"/>
      <x:c r="I4" s="28" t="str"/>
      <x:c r="J4" s="26" t="n">
        <x:f>IFERROR(E4/D4,0)</x:f>
        <x:v>0</x:v>
      </x:c>
      <x:c r="K4" s="29" t="n">
        <x:f>IFERROR(G4/F4,0)</x:f>
        <x:v>0</x:v>
      </x:c>
      <x:c r="L4" s="29" t="n">
        <x:f>IFERROR(H4/G4,0)</x:f>
        <x:v>0</x:v>
      </x:c>
      <x:c r="M4" s="25" t="n">
        <x:f>IFERROR(D4/H4,0)</x:f>
        <x:v>0</x:v>
      </x:c>
      <x:c r="N4" s="25" t="n">
        <x:f>IFERROR(D4/G4,0)</x:f>
        <x:v>0</x:v>
      </x:c>
      <x:c r="O4" s="17" t="str"/>
      <x:c r="P4" s="17" t="str"/>
    </x:row>
    <x:row r="5" ht="15" hidden="0" customHeight="1">
      <x:c r="A5" s="17" t="str"/>
      <x:c r="B5" s="17" t="str"/>
      <x:c r="C5" s="17" t="str"/>
      <x:c r="D5" s="28" t="str"/>
      <x:c r="E5" s="28" t="str"/>
      <x:c r="F5" s="28" t="str"/>
      <x:c r="G5" s="28" t="str"/>
      <x:c r="H5" s="28" t="str"/>
      <x:c r="I5" s="28" t="str"/>
      <x:c r="J5" s="26" t="n">
        <x:f>IFERROR(E5/D5,0)</x:f>
        <x:v>0</x:v>
      </x:c>
      <x:c r="K5" s="29" t="n">
        <x:f>IFERROR(G5/F5,0)</x:f>
        <x:v>0</x:v>
      </x:c>
      <x:c r="L5" s="29" t="n">
        <x:f>IFERROR(H5/G5,0)</x:f>
        <x:v>0</x:v>
      </x:c>
      <x:c r="M5" s="25" t="n">
        <x:f>IFERROR(D5/H5,0)</x:f>
        <x:v>0</x:v>
      </x:c>
      <x:c r="N5" s="25" t="n">
        <x:f>IFERROR(D5/G5,0)</x:f>
        <x:v>0</x:v>
      </x:c>
      <x:c r="O5" s="17" t="str"/>
      <x:c r="P5" s="17" t="str"/>
    </x:row>
    <x:row r="6" ht="15" hidden="0" customHeight="1">
      <x:c r="A6" s="17" t="str"/>
      <x:c r="B6" s="17" t="str"/>
      <x:c r="C6" s="17" t="str"/>
      <x:c r="D6" s="28" t="str"/>
      <x:c r="E6" s="28" t="str"/>
      <x:c r="F6" s="28" t="str"/>
      <x:c r="G6" s="28" t="str"/>
      <x:c r="H6" s="28" t="str"/>
      <x:c r="I6" s="28" t="str"/>
      <x:c r="J6" s="26" t="n">
        <x:f>IFERROR(E6/D6,0)</x:f>
        <x:v>0</x:v>
      </x:c>
      <x:c r="K6" s="29" t="n">
        <x:f>IFERROR(G6/F6,0)</x:f>
        <x:v>0</x:v>
      </x:c>
      <x:c r="L6" s="29" t="n">
        <x:f>IFERROR(H6/G6,0)</x:f>
        <x:v>0</x:v>
      </x:c>
      <x:c r="M6" s="25" t="n">
        <x:f>IFERROR(D6/H6,0)</x:f>
        <x:v>0</x:v>
      </x:c>
      <x:c r="N6" s="25" t="n">
        <x:f>IFERROR(D6/G6,0)</x:f>
        <x:v>0</x:v>
      </x:c>
      <x:c r="O6" s="17" t="str"/>
      <x:c r="P6" s="17" t="str"/>
    </x:row>
    <x:row r="7" ht="15" hidden="0" customHeight="1">
      <x:c r="A7" s="17"/>
      <x:c r="B7" s="17"/>
      <x:c r="C7" s="17"/>
      <x:c r="D7" s="28"/>
      <x:c r="E7" s="28"/>
      <x:c r="F7" s="28"/>
      <x:c r="G7" s="28"/>
      <x:c r="H7" s="28"/>
      <x:c r="I7" s="28"/>
      <x:c r="J7" s="26" t="n">
        <x:f>IFERROR(E7/D7,0)</x:f>
        <x:v>0</x:v>
      </x:c>
      <x:c r="K7" s="29" t="n">
        <x:f>IFERROR(G7/F7,0)</x:f>
        <x:v>0</x:v>
      </x:c>
      <x:c r="L7" s="29" t="n">
        <x:f>IFERROR(H7/G7,0)</x:f>
        <x:v>0</x:v>
      </x:c>
      <x:c r="M7" s="25" t="n">
        <x:f>IFERROR(D7/H7,0)</x:f>
        <x:v>0</x:v>
      </x:c>
      <x:c r="N7" s="25" t="n">
        <x:f>IFERROR(D7/G7,0)</x:f>
        <x:v>0</x:v>
      </x:c>
      <x:c r="O7" s="17"/>
      <x:c r="P7" s="17"/>
    </x:row>
    <x:row r="8" ht="15" hidden="0" customHeight="1">
      <x:c r="A8" s="17"/>
      <x:c r="B8" s="17"/>
      <x:c r="C8" s="17"/>
      <x:c r="D8" s="28"/>
      <x:c r="E8" s="28"/>
      <x:c r="F8" s="28"/>
      <x:c r="G8" s="28"/>
      <x:c r="H8" s="28"/>
      <x:c r="I8" s="28"/>
      <x:c r="J8" s="26" t="n">
        <x:f>IFERROR(E8/D8,0)</x:f>
        <x:v>0</x:v>
      </x:c>
      <x:c r="K8" s="29" t="n">
        <x:f>IFERROR(G8/F8,0)</x:f>
        <x:v>0</x:v>
      </x:c>
      <x:c r="L8" s="29" t="n">
        <x:f>IFERROR(H8/G8,0)</x:f>
        <x:v>0</x:v>
      </x:c>
      <x:c r="M8" s="25" t="n">
        <x:f>IFERROR(D8/H8,0)</x:f>
        <x:v>0</x:v>
      </x:c>
      <x:c r="N8" s="25" t="n">
        <x:f>IFERROR(D8/G8,0)</x:f>
        <x:v>0</x:v>
      </x:c>
      <x:c r="O8" s="17"/>
      <x:c r="P8" s="17"/>
    </x:row>
    <x:row r="9" ht="15" hidden="0" customHeight="1">
      <x:c r="A9" s="17"/>
      <x:c r="B9" s="17"/>
      <x:c r="C9" s="17"/>
      <x:c r="D9" s="28"/>
      <x:c r="E9" s="28"/>
      <x:c r="F9" s="28"/>
      <x:c r="G9" s="28"/>
      <x:c r="H9" s="28"/>
      <x:c r="I9" s="28"/>
      <x:c r="J9" s="26" t="n">
        <x:f>IFERROR(E9/D9,0)</x:f>
        <x:v>0</x:v>
      </x:c>
      <x:c r="K9" s="29" t="n">
        <x:f>IFERROR(G9/F9,0)</x:f>
        <x:v>0</x:v>
      </x:c>
      <x:c r="L9" s="29" t="n">
        <x:f>IFERROR(H9/G9,0)</x:f>
        <x:v>0</x:v>
      </x:c>
      <x:c r="M9" s="25" t="n">
        <x:f>IFERROR(D9/H9,0)</x:f>
        <x:v>0</x:v>
      </x:c>
      <x:c r="N9" s="25" t="n">
        <x:f>IFERROR(D9/G9,0)</x:f>
        <x:v>0</x:v>
      </x:c>
      <x:c r="O9" s="17"/>
      <x:c r="P9" s="17"/>
    </x:row>
    <x:row r="10" ht="15" hidden="0" customHeight="1">
      <x:c r="A10" s="17"/>
      <x:c r="B10" s="17"/>
      <x:c r="C10" s="17"/>
      <x:c r="D10" s="28"/>
      <x:c r="E10" s="28"/>
      <x:c r="F10" s="28"/>
      <x:c r="G10" s="28"/>
      <x:c r="H10" s="28"/>
      <x:c r="I10" s="28"/>
      <x:c r="J10" s="26" t="n">
        <x:f>IFERROR(E10/D10,0)</x:f>
        <x:v>0</x:v>
      </x:c>
      <x:c r="K10" s="29" t="n">
        <x:f>IFERROR(G10/F10,0)</x:f>
        <x:v>0</x:v>
      </x:c>
      <x:c r="L10" s="29" t="n">
        <x:f>IFERROR(H10/G10,0)</x:f>
        <x:v>0</x:v>
      </x:c>
      <x:c r="M10" s="25" t="n">
        <x:f>IFERROR(D10/H10,0)</x:f>
        <x:v>0</x:v>
      </x:c>
      <x:c r="N10" s="25" t="n">
        <x:f>IFERROR(D10/G10,0)</x:f>
        <x:v>0</x:v>
      </x:c>
      <x:c r="O10" s="17"/>
      <x:c r="P10" s="17"/>
    </x:row>
    <x:row r="11" ht="15" hidden="0" customHeight="1">
      <x:c r="A11" s="17"/>
      <x:c r="B11" s="17"/>
      <x:c r="C11" s="17"/>
      <x:c r="D11" s="28"/>
      <x:c r="E11" s="28"/>
      <x:c r="F11" s="28"/>
      <x:c r="G11" s="28"/>
      <x:c r="H11" s="28"/>
      <x:c r="I11" s="28"/>
      <x:c r="J11" s="26" t="n">
        <x:f>IFERROR(E11/D11,0)</x:f>
        <x:v>0</x:v>
      </x:c>
      <x:c r="K11" s="29" t="n">
        <x:f>IFERROR(G11/F11,0)</x:f>
        <x:v>0</x:v>
      </x:c>
      <x:c r="L11" s="29" t="n">
        <x:f>IFERROR(H11/G11,0)</x:f>
        <x:v>0</x:v>
      </x:c>
      <x:c r="M11" s="25" t="n">
        <x:f>IFERROR(D11/H11,0)</x:f>
        <x:v>0</x:v>
      </x:c>
      <x:c r="N11" s="25" t="n">
        <x:f>IFERROR(D11/G11,0)</x:f>
        <x:v>0</x:v>
      </x:c>
      <x:c r="O11" s="17"/>
      <x:c r="P11" s="17"/>
    </x:row>
    <x:row r="12" ht="15" hidden="0" customHeight="1">
      <x:c r="A12" s="17"/>
      <x:c r="B12" s="17"/>
      <x:c r="C12" s="17"/>
      <x:c r="D12" s="28"/>
      <x:c r="E12" s="28"/>
      <x:c r="F12" s="28"/>
      <x:c r="G12" s="28"/>
      <x:c r="H12" s="28"/>
      <x:c r="I12" s="28"/>
      <x:c r="J12" s="26" t="n">
        <x:f>IFERROR(E12/D12,0)</x:f>
        <x:v>0</x:v>
      </x:c>
      <x:c r="K12" s="29" t="n">
        <x:f>IFERROR(G12/F12,0)</x:f>
        <x:v>0</x:v>
      </x:c>
      <x:c r="L12" s="29" t="n">
        <x:f>IFERROR(H12/G12,0)</x:f>
        <x:v>0</x:v>
      </x:c>
      <x:c r="M12" s="25" t="n">
        <x:f>IFERROR(D12/H12,0)</x:f>
        <x:v>0</x:v>
      </x:c>
      <x:c r="N12" s="25" t="n">
        <x:f>IFERROR(D12/G12,0)</x:f>
        <x:v>0</x:v>
      </x:c>
      <x:c r="O12" s="17"/>
      <x:c r="P12" s="17"/>
    </x:row>
    <x:row r="13" ht="15" hidden="0" customHeight="1">
      <x:c r="A13" s="17"/>
      <x:c r="B13" s="17"/>
      <x:c r="C13" s="17"/>
      <x:c r="D13" s="28"/>
      <x:c r="E13" s="28"/>
      <x:c r="F13" s="28"/>
      <x:c r="G13" s="28"/>
      <x:c r="H13" s="28"/>
      <x:c r="I13" s="28"/>
      <x:c r="J13" s="26" t="n">
        <x:f>IFERROR(E13/D13,0)</x:f>
        <x:v>0</x:v>
      </x:c>
      <x:c r="K13" s="29" t="n">
        <x:f>IFERROR(G13/F13,0)</x:f>
        <x:v>0</x:v>
      </x:c>
      <x:c r="L13" s="29" t="n">
        <x:f>IFERROR(H13/G13,0)</x:f>
        <x:v>0</x:v>
      </x:c>
      <x:c r="M13" s="25" t="n">
        <x:f>IFERROR(D13/H13,0)</x:f>
        <x:v>0</x:v>
      </x:c>
      <x:c r="N13" s="25" t="n">
        <x:f>IFERROR(D13/G13,0)</x:f>
        <x:v>0</x:v>
      </x:c>
      <x:c r="O13" s="17"/>
      <x:c r="P13" s="17"/>
    </x:row>
    <x:row r="14" ht="15" hidden="0" customHeight="1">
      <x:c r="A14" s="17"/>
      <x:c r="B14" s="17"/>
      <x:c r="C14" s="17"/>
      <x:c r="D14" s="28"/>
      <x:c r="E14" s="28"/>
      <x:c r="F14" s="28"/>
      <x:c r="G14" s="28"/>
      <x:c r="H14" s="28"/>
      <x:c r="I14" s="28"/>
      <x:c r="J14" s="26" t="n">
        <x:f>IFERROR(E14/D14,0)</x:f>
        <x:v>0</x:v>
      </x:c>
      <x:c r="K14" s="29" t="n">
        <x:f>IFERROR(G14/F14,0)</x:f>
        <x:v>0</x:v>
      </x:c>
      <x:c r="L14" s="29" t="n">
        <x:f>IFERROR(H14/G14,0)</x:f>
        <x:v>0</x:v>
      </x:c>
      <x:c r="M14" s="25" t="n">
        <x:f>IFERROR(D14/H14,0)</x:f>
        <x:v>0</x:v>
      </x:c>
      <x:c r="N14" s="25" t="n">
        <x:f>IFERROR(D14/G14,0)</x:f>
        <x:v>0</x:v>
      </x:c>
      <x:c r="O14" s="17"/>
      <x:c r="P14" s="17"/>
    </x:row>
    <x:row r="15" ht="15" hidden="0" customHeight="1">
      <x:c r="A15" s="17"/>
      <x:c r="B15" s="17"/>
      <x:c r="C15" s="17"/>
      <x:c r="D15" s="28"/>
      <x:c r="E15" s="28"/>
      <x:c r="F15" s="28"/>
      <x:c r="G15" s="28"/>
      <x:c r="H15" s="28"/>
      <x:c r="I15" s="28"/>
      <x:c r="J15" s="26" t="n">
        <x:f>IFERROR(E15/D15,0)</x:f>
        <x:v>0</x:v>
      </x:c>
      <x:c r="K15" s="29" t="n">
        <x:f>IFERROR(G15/F15,0)</x:f>
        <x:v>0</x:v>
      </x:c>
      <x:c r="L15" s="29" t="n">
        <x:f>IFERROR(H15/G15,0)</x:f>
        <x:v>0</x:v>
      </x:c>
      <x:c r="M15" s="25" t="n">
        <x:f>IFERROR(D15/H15,0)</x:f>
        <x:v>0</x:v>
      </x:c>
      <x:c r="N15" s="25" t="n">
        <x:f>IFERROR(D15/G15,0)</x:f>
        <x:v>0</x:v>
      </x:c>
      <x:c r="O15" s="17"/>
      <x:c r="P15" s="17"/>
    </x:row>
    <x:row r="16" ht="15" hidden="0" customHeight="1">
      <x:c r="A16" s="17"/>
      <x:c r="B16" s="17"/>
      <x:c r="C16" s="17"/>
      <x:c r="D16" s="28"/>
      <x:c r="E16" s="28"/>
      <x:c r="F16" s="28"/>
      <x:c r="G16" s="28"/>
      <x:c r="H16" s="28"/>
      <x:c r="I16" s="28"/>
      <x:c r="J16" s="26" t="n">
        <x:f>IFERROR(E16/D16,0)</x:f>
        <x:v>0</x:v>
      </x:c>
      <x:c r="K16" s="29" t="n">
        <x:f>IFERROR(G16/F16,0)</x:f>
        <x:v>0</x:v>
      </x:c>
      <x:c r="L16" s="29" t="n">
        <x:f>IFERROR(H16/G16,0)</x:f>
        <x:v>0</x:v>
      </x:c>
      <x:c r="M16" s="25" t="n">
        <x:f>IFERROR(D16/H16,0)</x:f>
        <x:v>0</x:v>
      </x:c>
      <x:c r="N16" s="25" t="n">
        <x:f>IFERROR(D16/G16,0)</x:f>
        <x:v>0</x:v>
      </x:c>
      <x:c r="O16" s="17"/>
      <x:c r="P16" s="17"/>
    </x:row>
    <x:row r="17" ht="15" hidden="0" customHeight="1">
      <x:c r="A17" s="17"/>
      <x:c r="B17" s="17"/>
      <x:c r="C17" s="17"/>
      <x:c r="D17" s="28"/>
      <x:c r="E17" s="28"/>
      <x:c r="F17" s="28"/>
      <x:c r="G17" s="28"/>
      <x:c r="H17" s="28"/>
      <x:c r="I17" s="28"/>
      <x:c r="J17" s="26" t="n">
        <x:f>IFERROR(E17/D17,0)</x:f>
        <x:v>0</x:v>
      </x:c>
      <x:c r="K17" s="29" t="n">
        <x:f>IFERROR(G17/F17,0)</x:f>
        <x:v>0</x:v>
      </x:c>
      <x:c r="L17" s="29" t="n">
        <x:f>IFERROR(H17/G17,0)</x:f>
        <x:v>0</x:v>
      </x:c>
      <x:c r="M17" s="25" t="n">
        <x:f>IFERROR(D17/H17,0)</x:f>
        <x:v>0</x:v>
      </x:c>
      <x:c r="N17" s="25" t="n">
        <x:f>IFERROR(D17/G17,0)</x:f>
        <x:v>0</x:v>
      </x:c>
      <x:c r="O17" s="17"/>
      <x:c r="P17" s="17"/>
    </x:row>
    <x:row r="18" ht="15" hidden="0" customHeight="1">
      <x:c r="A18" s="17"/>
      <x:c r="B18" s="17"/>
      <x:c r="C18" s="17"/>
      <x:c r="D18" s="28"/>
      <x:c r="E18" s="28"/>
      <x:c r="F18" s="28"/>
      <x:c r="G18" s="28"/>
      <x:c r="H18" s="28"/>
      <x:c r="I18" s="28"/>
      <x:c r="J18" s="26" t="n">
        <x:f>IFERROR(E18/D18,0)</x:f>
        <x:v>0</x:v>
      </x:c>
      <x:c r="K18" s="29" t="n">
        <x:f>IFERROR(G18/F18,0)</x:f>
        <x:v>0</x:v>
      </x:c>
      <x:c r="L18" s="29" t="n">
        <x:f>IFERROR(H18/G18,0)</x:f>
        <x:v>0</x:v>
      </x:c>
      <x:c r="M18" s="25" t="n">
        <x:f>IFERROR(D18/H18,0)</x:f>
        <x:v>0</x:v>
      </x:c>
      <x:c r="N18" s="25" t="n">
        <x:f>IFERROR(D18/G18,0)</x:f>
        <x:v>0</x:v>
      </x:c>
      <x:c r="O18" s="17"/>
      <x:c r="P18" s="17"/>
    </x:row>
    <x:row r="19" ht="15" hidden="0" customHeight="1">
      <x:c r="A19" s="17"/>
      <x:c r="B19" s="17"/>
      <x:c r="C19" s="17"/>
      <x:c r="D19" s="28"/>
      <x:c r="E19" s="28"/>
      <x:c r="F19" s="28"/>
      <x:c r="G19" s="28"/>
      <x:c r="H19" s="28"/>
      <x:c r="I19" s="28"/>
      <x:c r="J19" s="26" t="n">
        <x:f>IFERROR(E19/D19,0)</x:f>
        <x:v>0</x:v>
      </x:c>
      <x:c r="K19" s="29" t="n">
        <x:f>IFERROR(G19/F19,0)</x:f>
        <x:v>0</x:v>
      </x:c>
      <x:c r="L19" s="29" t="n">
        <x:f>IFERROR(H19/G19,0)</x:f>
        <x:v>0</x:v>
      </x:c>
      <x:c r="M19" s="25" t="n">
        <x:f>IFERROR(D19/H19,0)</x:f>
        <x:v>0</x:v>
      </x:c>
      <x:c r="N19" s="25" t="n">
        <x:f>IFERROR(D19/G19,0)</x:f>
        <x:v>0</x:v>
      </x:c>
      <x:c r="O19" s="17"/>
      <x:c r="P19" s="17"/>
    </x:row>
    <x:row r="20" ht="15" hidden="0" customHeight="1">
      <x:c r="A20" s="17"/>
      <x:c r="B20" s="17"/>
      <x:c r="C20" s="17"/>
      <x:c r="D20" s="28"/>
      <x:c r="E20" s="28"/>
      <x:c r="F20" s="28"/>
      <x:c r="G20" s="28"/>
      <x:c r="H20" s="28"/>
      <x:c r="I20" s="28"/>
      <x:c r="J20" s="26" t="n">
        <x:f>IFERROR(E20/D20,0)</x:f>
        <x:v>0</x:v>
      </x:c>
      <x:c r="K20" s="29" t="n">
        <x:f>IFERROR(G20/F20,0)</x:f>
        <x:v>0</x:v>
      </x:c>
      <x:c r="L20" s="29" t="n">
        <x:f>IFERROR(H20/G20,0)</x:f>
        <x:v>0</x:v>
      </x:c>
      <x:c r="M20" s="25" t="n">
        <x:f>IFERROR(D20/H20,0)</x:f>
        <x:v>0</x:v>
      </x:c>
      <x:c r="N20" s="25" t="n">
        <x:f>IFERROR(D20/G20,0)</x:f>
        <x:v>0</x:v>
      </x:c>
      <x:c r="O20" s="17"/>
      <x:c r="P20" s="17"/>
    </x:row>
    <x:row r="21" ht="15" hidden="0" customHeight="1">
      <x:c r="A21" s="17"/>
      <x:c r="B21" s="17"/>
      <x:c r="C21" s="17"/>
      <x:c r="D21" s="28"/>
      <x:c r="E21" s="28"/>
      <x:c r="F21" s="28"/>
      <x:c r="G21" s="28"/>
      <x:c r="H21" s="28"/>
      <x:c r="I21" s="28"/>
      <x:c r="J21" s="26" t="n">
        <x:f>IFERROR(E21/D21,0)</x:f>
        <x:v>0</x:v>
      </x:c>
      <x:c r="K21" s="29" t="n">
        <x:f>IFERROR(G21/F21,0)</x:f>
        <x:v>0</x:v>
      </x:c>
      <x:c r="L21" s="29" t="n">
        <x:f>IFERROR(H21/G21,0)</x:f>
        <x:v>0</x:v>
      </x:c>
      <x:c r="M21" s="25" t="n">
        <x:f>IFERROR(D21/H21,0)</x:f>
        <x:v>0</x:v>
      </x:c>
      <x:c r="N21" s="25" t="n">
        <x:f>IFERROR(D21/G21,0)</x:f>
        <x:v>0</x:v>
      </x:c>
      <x:c r="O21" s="17"/>
      <x:c r="P21" s="17"/>
    </x:row>
    <x:row r="22" ht="15" hidden="0" customHeight="1">
      <x:c r="A22" s="17"/>
      <x:c r="B22" s="17"/>
      <x:c r="C22" s="17"/>
      <x:c r="D22" s="28"/>
      <x:c r="E22" s="28"/>
      <x:c r="F22" s="28"/>
      <x:c r="G22" s="28"/>
      <x:c r="H22" s="28"/>
      <x:c r="I22" s="28"/>
      <x:c r="J22" s="26" t="n">
        <x:f>IFERROR(E22/D22,0)</x:f>
        <x:v>0</x:v>
      </x:c>
      <x:c r="K22" s="29" t="n">
        <x:f>IFERROR(G22/F22,0)</x:f>
        <x:v>0</x:v>
      </x:c>
      <x:c r="L22" s="29" t="n">
        <x:f>IFERROR(H22/G22,0)</x:f>
        <x:v>0</x:v>
      </x:c>
      <x:c r="M22" s="25" t="n">
        <x:f>IFERROR(D22/H22,0)</x:f>
        <x:v>0</x:v>
      </x:c>
      <x:c r="N22" s="25" t="n">
        <x:f>IFERROR(D22/G22,0)</x:f>
        <x:v>0</x:v>
      </x:c>
      <x:c r="O22" s="17"/>
      <x:c r="P22" s="17"/>
    </x:row>
    <x:row r="23" ht="15" hidden="0" customHeight="1">
      <x:c r="A23" s="17"/>
      <x:c r="B23" s="17"/>
      <x:c r="C23" s="17"/>
      <x:c r="D23" s="28"/>
      <x:c r="E23" s="28"/>
      <x:c r="F23" s="28"/>
      <x:c r="G23" s="28"/>
      <x:c r="H23" s="28"/>
      <x:c r="I23" s="28"/>
      <x:c r="J23" s="26" t="n">
        <x:f>IFERROR(E23/D23,0)</x:f>
        <x:v>0</x:v>
      </x:c>
      <x:c r="K23" s="29" t="n">
        <x:f>IFERROR(G23/F23,0)</x:f>
        <x:v>0</x:v>
      </x:c>
      <x:c r="L23" s="29" t="n">
        <x:f>IFERROR(H23/G23,0)</x:f>
        <x:v>0</x:v>
      </x:c>
      <x:c r="M23" s="25" t="n">
        <x:f>IFERROR(D23/H23,0)</x:f>
        <x:v>0</x:v>
      </x:c>
      <x:c r="N23" s="25" t="n">
        <x:f>IFERROR(D23/G23,0)</x:f>
        <x:v>0</x:v>
      </x:c>
      <x:c r="O23" s="17"/>
      <x:c r="P23" s="17"/>
    </x:row>
    <x:row r="24" ht="15" hidden="0" customHeight="1">
      <x:c r="A24" s="17"/>
      <x:c r="B24" s="17"/>
      <x:c r="C24" s="17"/>
      <x:c r="D24" s="28"/>
      <x:c r="E24" s="28"/>
      <x:c r="F24" s="28"/>
      <x:c r="G24" s="28"/>
      <x:c r="H24" s="28"/>
      <x:c r="I24" s="28"/>
      <x:c r="J24" s="26" t="n">
        <x:f>IFERROR(E24/D24,0)</x:f>
        <x:v>0</x:v>
      </x:c>
      <x:c r="K24" s="29" t="n">
        <x:f>IFERROR(G24/F24,0)</x:f>
        <x:v>0</x:v>
      </x:c>
      <x:c r="L24" s="29" t="n">
        <x:f>IFERROR(H24/G24,0)</x:f>
        <x:v>0</x:v>
      </x:c>
      <x:c r="M24" s="25" t="n">
        <x:f>IFERROR(D24/H24,0)</x:f>
        <x:v>0</x:v>
      </x:c>
      <x:c r="N24" s="25" t="n">
        <x:f>IFERROR(D24/G24,0)</x:f>
        <x:v>0</x:v>
      </x:c>
      <x:c r="O24" s="17"/>
      <x:c r="P24" s="17"/>
    </x:row>
    <x:row r="25" ht="15" hidden="0" customHeight="1">
      <x:c r="A25" s="17"/>
      <x:c r="B25" s="17"/>
      <x:c r="C25" s="17"/>
      <x:c r="D25" s="28"/>
      <x:c r="E25" s="28"/>
      <x:c r="F25" s="28"/>
      <x:c r="G25" s="28"/>
      <x:c r="H25" s="28"/>
      <x:c r="I25" s="28"/>
      <x:c r="J25" s="26" t="n">
        <x:f>IFERROR(E25/D25,0)</x:f>
        <x:v>0</x:v>
      </x:c>
      <x:c r="K25" s="29" t="n">
        <x:f>IFERROR(G25/F25,0)</x:f>
        <x:v>0</x:v>
      </x:c>
      <x:c r="L25" s="29" t="n">
        <x:f>IFERROR(H25/G25,0)</x:f>
        <x:v>0</x:v>
      </x:c>
      <x:c r="M25" s="25" t="n">
        <x:f>IFERROR(D25/H25,0)</x:f>
        <x:v>0</x:v>
      </x:c>
      <x:c r="N25" s="25" t="n">
        <x:f>IFERROR(D25/G25,0)</x:f>
        <x:v>0</x:v>
      </x:c>
      <x:c r="O25" s="17"/>
      <x:c r="P25" s="17"/>
    </x:row>
    <x:row r="26" ht="15" hidden="0" customHeight="1">
      <x:c r="A26" s="17"/>
      <x:c r="B26" s="17"/>
      <x:c r="C26" s="17"/>
      <x:c r="D26" s="28"/>
      <x:c r="E26" s="28"/>
      <x:c r="F26" s="28"/>
      <x:c r="G26" s="28"/>
      <x:c r="H26" s="28"/>
      <x:c r="I26" s="28"/>
      <x:c r="J26" s="26" t="n">
        <x:f>IFERROR(E26/D26,0)</x:f>
        <x:v>0</x:v>
      </x:c>
      <x:c r="K26" s="29" t="n">
        <x:f>IFERROR(G26/F26,0)</x:f>
        <x:v>0</x:v>
      </x:c>
      <x:c r="L26" s="29" t="n">
        <x:f>IFERROR(H26/G26,0)</x:f>
        <x:v>0</x:v>
      </x:c>
      <x:c r="M26" s="25" t="n">
        <x:f>IFERROR(D26/H26,0)</x:f>
        <x:v>0</x:v>
      </x:c>
      <x:c r="N26" s="25" t="n">
        <x:f>IFERROR(D26/G26,0)</x:f>
        <x:v>0</x:v>
      </x:c>
      <x:c r="O26" s="17"/>
      <x:c r="P26" s="17"/>
    </x:row>
    <x:row r="27" ht="15" hidden="0" customHeight="1">
      <x:c r="A27" s="17"/>
      <x:c r="B27" s="17"/>
      <x:c r="C27" s="17"/>
      <x:c r="D27" s="28"/>
      <x:c r="E27" s="28"/>
      <x:c r="F27" s="28"/>
      <x:c r="G27" s="28"/>
      <x:c r="H27" s="28"/>
      <x:c r="I27" s="28"/>
      <x:c r="J27" s="26" t="n">
        <x:f>IFERROR(E27/D27,0)</x:f>
        <x:v>0</x:v>
      </x:c>
      <x:c r="K27" s="29" t="n">
        <x:f>IFERROR(G27/F27,0)</x:f>
        <x:v>0</x:v>
      </x:c>
      <x:c r="L27" s="29" t="n">
        <x:f>IFERROR(H27/G27,0)</x:f>
        <x:v>0</x:v>
      </x:c>
      <x:c r="M27" s="25" t="n">
        <x:f>IFERROR(D27/H27,0)</x:f>
        <x:v>0</x:v>
      </x:c>
      <x:c r="N27" s="25" t="n">
        <x:f>IFERROR(D27/G27,0)</x:f>
        <x:v>0</x:v>
      </x:c>
      <x:c r="O27" s="17"/>
      <x:c r="P27" s="17"/>
    </x:row>
    <x:row r="28" ht="15" hidden="0" customHeight="1">
      <x:c r="A28" s="17"/>
      <x:c r="B28" s="17"/>
      <x:c r="C28" s="17"/>
      <x:c r="D28" s="28"/>
      <x:c r="E28" s="28"/>
      <x:c r="F28" s="28"/>
      <x:c r="G28" s="28"/>
      <x:c r="H28" s="28"/>
      <x:c r="I28" s="28"/>
      <x:c r="J28" s="26" t="n">
        <x:f>IFERROR(E28/D28,0)</x:f>
        <x:v>0</x:v>
      </x:c>
      <x:c r="K28" s="29" t="n">
        <x:f>IFERROR(G28/F28,0)</x:f>
        <x:v>0</x:v>
      </x:c>
      <x:c r="L28" s="29" t="n">
        <x:f>IFERROR(H28/G28,0)</x:f>
        <x:v>0</x:v>
      </x:c>
      <x:c r="M28" s="25" t="n">
        <x:f>IFERROR(D28/H28,0)</x:f>
        <x:v>0</x:v>
      </x:c>
      <x:c r="N28" s="25" t="n">
        <x:f>IFERROR(D28/G28,0)</x:f>
        <x:v>0</x:v>
      </x:c>
      <x:c r="O28" s="17"/>
      <x:c r="P28" s="17"/>
    </x:row>
    <x:row r="29" ht="15" hidden="0" customHeight="1">
      <x:c r="A29" s="17"/>
      <x:c r="B29" s="17"/>
      <x:c r="C29" s="17"/>
      <x:c r="D29" s="28"/>
      <x:c r="E29" s="28"/>
      <x:c r="F29" s="28"/>
      <x:c r="G29" s="28"/>
      <x:c r="H29" s="28"/>
      <x:c r="I29" s="28"/>
      <x:c r="J29" s="26" t="n">
        <x:f>IFERROR(E29/D29,0)</x:f>
        <x:v>0</x:v>
      </x:c>
      <x:c r="K29" s="29" t="n">
        <x:f>IFERROR(G29/F29,0)</x:f>
        <x:v>0</x:v>
      </x:c>
      <x:c r="L29" s="29" t="n">
        <x:f>IFERROR(H29/G29,0)</x:f>
        <x:v>0</x:v>
      </x:c>
      <x:c r="M29" s="25" t="n">
        <x:f>IFERROR(D29/H29,0)</x:f>
        <x:v>0</x:v>
      </x:c>
      <x:c r="N29" s="25" t="n">
        <x:f>IFERROR(D29/G29,0)</x:f>
        <x:v>0</x:v>
      </x:c>
      <x:c r="O29" s="17"/>
      <x:c r="P29" s="17"/>
    </x:row>
    <x:row r="30" ht="15" hidden="0" customHeight="1">
      <x:c r="A30" s="17"/>
      <x:c r="B30" s="17"/>
      <x:c r="C30" s="17"/>
      <x:c r="D30" s="28"/>
      <x:c r="E30" s="28"/>
      <x:c r="F30" s="28"/>
      <x:c r="G30" s="28"/>
      <x:c r="H30" s="28"/>
      <x:c r="I30" s="28"/>
      <x:c r="J30" s="26" t="n">
        <x:f>IFERROR(E30/D30,0)</x:f>
        <x:v>0</x:v>
      </x:c>
      <x:c r="K30" s="29" t="n">
        <x:f>IFERROR(G30/F30,0)</x:f>
        <x:v>0</x:v>
      </x:c>
      <x:c r="L30" s="29" t="n">
        <x:f>IFERROR(H30/G30,0)</x:f>
        <x:v>0</x:v>
      </x:c>
      <x:c r="M30" s="25" t="n">
        <x:f>IFERROR(D30/H30,0)</x:f>
        <x:v>0</x:v>
      </x:c>
      <x:c r="N30" s="25" t="n">
        <x:f>IFERROR(D30/G30,0)</x:f>
        <x:v>0</x:v>
      </x:c>
      <x:c r="O30" s="17"/>
      <x:c r="P3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8.109999656677246" hidden="0" customWidth="1"/>
    <x:col min="3" max="3" width="10.329999923706055" hidden="0" customWidth="1"/>
    <x:col min="4" max="4" width="7.110000133514404" hidden="0" customWidth="1"/>
    <x:col min="5" max="5" width="7.889999866485596" hidden="0" customWidth="1"/>
    <x:col min="6" max="6" width="5.889999866485596" hidden="0" customWidth="1"/>
    <x:col min="7" max="7" width="5" hidden="0" customWidth="1"/>
    <x:col min="8" max="8" width="4.329999923706055" hidden="0" customWidth="1"/>
    <x:col min="9" max="9" width="4.329999923706055" hidden="0" customWidth="1"/>
    <x:col min="10" max="10" width="4.78000020980835" hidden="0" customWidth="1"/>
    <x:col min="11" max="11" width="3.890000104904175" hidden="0" customWidth="1"/>
    <x:col min="12" max="12" width="3.890000104904175" hidden="0" customWidth="1"/>
    <x:col min="13" max="13" width="4.21999979019165" hidden="0" customWidth="1"/>
    <x:col min="14" max="14" width="3.6700000762939453" hidden="0" customWidth="1"/>
    <x:col min="15" max="15" width="6.889999866485596" hidden="0" customWidth="1"/>
    <x:col min="16" max="16" width="9.4399995803833" hidden="0" customWidth="1"/>
  </x:cols>
  <x:sheetData>
    <x:row r="1" ht="15" hidden="0" customHeight="1">
      <x:c r="A1" s="23" t="str">
        <x:v>client_id</x:v>
      </x:c>
      <x:c r="B1" s="23" t="str">
        <x:v>일자</x:v>
      </x:c>
      <x:c r="C1" s="23" t="str">
        <x:v>캠페인</x:v>
      </x:c>
      <x:c r="D1" s="23" t="str">
        <x:v>광고비</x:v>
      </x:c>
      <x:c r="E1" s="23" t="str">
        <x:v>매출</x:v>
      </x:c>
      <x:c r="F1" s="23" t="str">
        <x:v>노출수</x:v>
      </x:c>
      <x:c r="G1" s="23" t="str">
        <x:v>클릭수</x:v>
      </x:c>
      <x:c r="H1" s="23" t="str">
        <x:v>전환수</x:v>
      </x:c>
      <x:c r="I1" s="23" t="str">
        <x:v>구매수</x:v>
      </x:c>
      <x:c r="J1" s="23" t="str">
        <x:v>ROAS</x:v>
      </x:c>
      <x:c r="K1" s="23" t="str">
        <x:v>CTR</x:v>
      </x:c>
      <x:c r="L1" s="23" t="str">
        <x:v>CVR</x:v>
      </x:c>
      <x:c r="M1" s="23" t="str">
        <x:v>CPA</x:v>
      </x:c>
      <x:c r="N1" s="23" t="str">
        <x:v>CPC</x:v>
      </x:c>
      <x:c r="O1" s="23" t="str">
        <x:v>관리자컨펌</x:v>
      </x:c>
      <x:c r="P1" s="23" t="str">
        <x:v>광고주공유여부</x:v>
      </x:c>
    </x:row>
    <x:row r="2" ht="15" hidden="0" customHeight="1">
      <x:c r="A2" s="17" t="str">
        <x:v>MI-CLIENT-001</x:v>
      </x:c>
      <x:c r="B2" s="17" t="str">
        <x:v>2026-06-19</x:v>
      </x:c>
      <x:c r="C2" s="17" t="str">
        <x:v>상품 검색 캠페인</x:v>
      </x:c>
      <x:c r="D2" s="28" t="n">
        <x:v>2210000</x:v>
      </x:c>
      <x:c r="E2" s="28" t="n">
        <x:v>14200000</x:v>
      </x:c>
      <x:c r="F2" s="28" t="n">
        <x:v>380000</x:v>
      </x:c>
      <x:c r="G2" s="28" t="n">
        <x:v>17200</x:v>
      </x:c>
      <x:c r="H2" s="28" t="n">
        <x:v>810</x:v>
      </x:c>
      <x:c r="I2" s="28" t="n">
        <x:v>438</x:v>
      </x:c>
      <x:c r="J2" s="26" t="n">
        <x:f>IFERROR(E2/D2,0)</x:f>
        <x:v>6.425339366515837</x:v>
      </x:c>
      <x:c r="K2" s="29" t="n">
        <x:f>IFERROR(G2/F2,0)</x:f>
        <x:v>0.045263157894736845</x:v>
      </x:c>
      <x:c r="L2" s="29" t="n">
        <x:f>IFERROR(H2/G2,0)</x:f>
        <x:v>0.04709302325581395</x:v>
      </x:c>
      <x:c r="M2" s="25" t="n">
        <x:f>IFERROR(D2/H2,0)</x:f>
        <x:v>2728.395061728395</x:v>
      </x:c>
      <x:c r="N2" s="25" t="n">
        <x:f>IFERROR(D2/G2,0)</x:f>
        <x:v>128.48837209302326</x:v>
      </x:c>
      <x:c r="O2" s="17" t="str">
        <x:v>승인</x:v>
      </x:c>
      <x:c r="P2" s="17" t="str">
        <x:v>Y</x:v>
      </x:c>
    </x:row>
    <x:row r="3" ht="15" hidden="0" customHeight="1">
      <x:c r="A3" s="17" t="str">
        <x:v>MI-CLIENT-003</x:v>
      </x:c>
      <x:c r="B3" s="17" t="str">
        <x:v>2026-06-19</x:v>
      </x:c>
      <x:c r="C3" s="17" t="str">
        <x:v>상품 확장 캠페인</x:v>
      </x:c>
      <x:c r="D3" s="28" t="n">
        <x:v>1800000</x:v>
      </x:c>
      <x:c r="E3" s="28" t="n">
        <x:v>9400000</x:v>
      </x:c>
      <x:c r="F3" s="28" t="n">
        <x:v>220000</x:v>
      </x:c>
      <x:c r="G3" s="28" t="n">
        <x:v>8600</x:v>
      </x:c>
      <x:c r="H3" s="28" t="n">
        <x:v>412</x:v>
      </x:c>
      <x:c r="I3" s="28" t="n">
        <x:v>301</x:v>
      </x:c>
      <x:c r="J3" s="26" t="n">
        <x:f>IFERROR(E3/D3,0)</x:f>
        <x:v>5.222222222222222</x:v>
      </x:c>
      <x:c r="K3" s="29" t="n">
        <x:f>IFERROR(G3/F3,0)</x:f>
        <x:v>0.03909090909090909</x:v>
      </x:c>
      <x:c r="L3" s="29" t="n">
        <x:f>IFERROR(H3/G3,0)</x:f>
        <x:v>0.04790697674418604</x:v>
      </x:c>
      <x:c r="M3" s="25" t="n">
        <x:f>IFERROR(D3/H3,0)</x:f>
        <x:v>4368.9320388349515</x:v>
      </x:c>
      <x:c r="N3" s="25" t="n">
        <x:f>IFERROR(D3/G3,0)</x:f>
        <x:v>209.30232558139534</x:v>
      </x:c>
      <x:c r="O3" s="17" t="str">
        <x:v>승인</x:v>
      </x:c>
      <x:c r="P3" s="17" t="str">
        <x:v>Y</x:v>
      </x:c>
    </x:row>
    <x:row r="4" ht="15" hidden="0" customHeight="1">
      <x:c r="A4" s="17" t="str"/>
      <x:c r="B4" s="17" t="str"/>
      <x:c r="C4" s="17" t="str"/>
      <x:c r="D4" s="28" t="str"/>
      <x:c r="E4" s="28" t="str"/>
      <x:c r="F4" s="28" t="str"/>
      <x:c r="G4" s="28" t="str"/>
      <x:c r="H4" s="28" t="str"/>
      <x:c r="I4" s="28" t="str"/>
      <x:c r="J4" s="26" t="n">
        <x:f>IFERROR(E4/D4,0)</x:f>
        <x:v>0</x:v>
      </x:c>
      <x:c r="K4" s="29" t="n">
        <x:f>IFERROR(G4/F4,0)</x:f>
        <x:v>0</x:v>
      </x:c>
      <x:c r="L4" s="29" t="n">
        <x:f>IFERROR(H4/G4,0)</x:f>
        <x:v>0</x:v>
      </x:c>
      <x:c r="M4" s="25" t="n">
        <x:f>IFERROR(D4/H4,0)</x:f>
        <x:v>0</x:v>
      </x:c>
      <x:c r="N4" s="25" t="n">
        <x:f>IFERROR(D4/G4,0)</x:f>
        <x:v>0</x:v>
      </x:c>
      <x:c r="O4" s="17" t="str"/>
      <x:c r="P4" s="17" t="str"/>
    </x:row>
    <x:row r="5" ht="15" hidden="0" customHeight="1">
      <x:c r="A5" s="17" t="str"/>
      <x:c r="B5" s="17" t="str"/>
      <x:c r="C5" s="17" t="str"/>
      <x:c r="D5" s="28" t="str"/>
      <x:c r="E5" s="28" t="str"/>
      <x:c r="F5" s="28" t="str"/>
      <x:c r="G5" s="28" t="str"/>
      <x:c r="H5" s="28" t="str"/>
      <x:c r="I5" s="28" t="str"/>
      <x:c r="J5" s="26" t="n">
        <x:f>IFERROR(E5/D5,0)</x:f>
        <x:v>0</x:v>
      </x:c>
      <x:c r="K5" s="29" t="n">
        <x:f>IFERROR(G5/F5,0)</x:f>
        <x:v>0</x:v>
      </x:c>
      <x:c r="L5" s="29" t="n">
        <x:f>IFERROR(H5/G5,0)</x:f>
        <x:v>0</x:v>
      </x:c>
      <x:c r="M5" s="25" t="n">
        <x:f>IFERROR(D5/H5,0)</x:f>
        <x:v>0</x:v>
      </x:c>
      <x:c r="N5" s="25" t="n">
        <x:f>IFERROR(D5/G5,0)</x:f>
        <x:v>0</x:v>
      </x:c>
      <x:c r="O5" s="17" t="str"/>
      <x:c r="P5" s="17" t="str"/>
    </x:row>
    <x:row r="6" ht="15" hidden="0" customHeight="1">
      <x:c r="A6" s="17" t="str"/>
      <x:c r="B6" s="17" t="str"/>
      <x:c r="C6" s="17" t="str"/>
      <x:c r="D6" s="28" t="str"/>
      <x:c r="E6" s="28" t="str"/>
      <x:c r="F6" s="28" t="str"/>
      <x:c r="G6" s="28" t="str"/>
      <x:c r="H6" s="28" t="str"/>
      <x:c r="I6" s="28" t="str"/>
      <x:c r="J6" s="26" t="n">
        <x:f>IFERROR(E6/D6,0)</x:f>
        <x:v>0</x:v>
      </x:c>
      <x:c r="K6" s="29" t="n">
        <x:f>IFERROR(G6/F6,0)</x:f>
        <x:v>0</x:v>
      </x:c>
      <x:c r="L6" s="29" t="n">
        <x:f>IFERROR(H6/G6,0)</x:f>
        <x:v>0</x:v>
      </x:c>
      <x:c r="M6" s="25" t="n">
        <x:f>IFERROR(D6/H6,0)</x:f>
        <x:v>0</x:v>
      </x:c>
      <x:c r="N6" s="25" t="n">
        <x:f>IFERROR(D6/G6,0)</x:f>
        <x:v>0</x:v>
      </x:c>
      <x:c r="O6" s="17" t="str"/>
      <x:c r="P6" s="17" t="str"/>
    </x:row>
    <x:row r="7" ht="15" hidden="0" customHeight="1">
      <x:c r="A7" s="17"/>
      <x:c r="B7" s="17"/>
      <x:c r="C7" s="17"/>
      <x:c r="D7" s="28"/>
      <x:c r="E7" s="28"/>
      <x:c r="F7" s="28"/>
      <x:c r="G7" s="28"/>
      <x:c r="H7" s="28"/>
      <x:c r="I7" s="28"/>
      <x:c r="J7" s="26" t="n">
        <x:f>IFERROR(E7/D7,0)</x:f>
        <x:v>0</x:v>
      </x:c>
      <x:c r="K7" s="29" t="n">
        <x:f>IFERROR(G7/F7,0)</x:f>
        <x:v>0</x:v>
      </x:c>
      <x:c r="L7" s="29" t="n">
        <x:f>IFERROR(H7/G7,0)</x:f>
        <x:v>0</x:v>
      </x:c>
      <x:c r="M7" s="25" t="n">
        <x:f>IFERROR(D7/H7,0)</x:f>
        <x:v>0</x:v>
      </x:c>
      <x:c r="N7" s="25" t="n">
        <x:f>IFERROR(D7/G7,0)</x:f>
        <x:v>0</x:v>
      </x:c>
      <x:c r="O7" s="17"/>
      <x:c r="P7" s="17"/>
    </x:row>
    <x:row r="8" ht="15" hidden="0" customHeight="1">
      <x:c r="A8" s="17"/>
      <x:c r="B8" s="17"/>
      <x:c r="C8" s="17"/>
      <x:c r="D8" s="28"/>
      <x:c r="E8" s="28"/>
      <x:c r="F8" s="28"/>
      <x:c r="G8" s="28"/>
      <x:c r="H8" s="28"/>
      <x:c r="I8" s="28"/>
      <x:c r="J8" s="26" t="n">
        <x:f>IFERROR(E8/D8,0)</x:f>
        <x:v>0</x:v>
      </x:c>
      <x:c r="K8" s="29" t="n">
        <x:f>IFERROR(G8/F8,0)</x:f>
        <x:v>0</x:v>
      </x:c>
      <x:c r="L8" s="29" t="n">
        <x:f>IFERROR(H8/G8,0)</x:f>
        <x:v>0</x:v>
      </x:c>
      <x:c r="M8" s="25" t="n">
        <x:f>IFERROR(D8/H8,0)</x:f>
        <x:v>0</x:v>
      </x:c>
      <x:c r="N8" s="25" t="n">
        <x:f>IFERROR(D8/G8,0)</x:f>
        <x:v>0</x:v>
      </x:c>
      <x:c r="O8" s="17"/>
      <x:c r="P8" s="17"/>
    </x:row>
    <x:row r="9" ht="15" hidden="0" customHeight="1">
      <x:c r="A9" s="17"/>
      <x:c r="B9" s="17"/>
      <x:c r="C9" s="17"/>
      <x:c r="D9" s="28"/>
      <x:c r="E9" s="28"/>
      <x:c r="F9" s="28"/>
      <x:c r="G9" s="28"/>
      <x:c r="H9" s="28"/>
      <x:c r="I9" s="28"/>
      <x:c r="J9" s="26" t="n">
        <x:f>IFERROR(E9/D9,0)</x:f>
        <x:v>0</x:v>
      </x:c>
      <x:c r="K9" s="29" t="n">
        <x:f>IFERROR(G9/F9,0)</x:f>
        <x:v>0</x:v>
      </x:c>
      <x:c r="L9" s="29" t="n">
        <x:f>IFERROR(H9/G9,0)</x:f>
        <x:v>0</x:v>
      </x:c>
      <x:c r="M9" s="25" t="n">
        <x:f>IFERROR(D9/H9,0)</x:f>
        <x:v>0</x:v>
      </x:c>
      <x:c r="N9" s="25" t="n">
        <x:f>IFERROR(D9/G9,0)</x:f>
        <x:v>0</x:v>
      </x:c>
      <x:c r="O9" s="17"/>
      <x:c r="P9" s="17"/>
    </x:row>
    <x:row r="10" ht="15" hidden="0" customHeight="1">
      <x:c r="A10" s="17"/>
      <x:c r="B10" s="17"/>
      <x:c r="C10" s="17"/>
      <x:c r="D10" s="28"/>
      <x:c r="E10" s="28"/>
      <x:c r="F10" s="28"/>
      <x:c r="G10" s="28"/>
      <x:c r="H10" s="28"/>
      <x:c r="I10" s="28"/>
      <x:c r="J10" s="26" t="n">
        <x:f>IFERROR(E10/D10,0)</x:f>
        <x:v>0</x:v>
      </x:c>
      <x:c r="K10" s="29" t="n">
        <x:f>IFERROR(G10/F10,0)</x:f>
        <x:v>0</x:v>
      </x:c>
      <x:c r="L10" s="29" t="n">
        <x:f>IFERROR(H10/G10,0)</x:f>
        <x:v>0</x:v>
      </x:c>
      <x:c r="M10" s="25" t="n">
        <x:f>IFERROR(D10/H10,0)</x:f>
        <x:v>0</x:v>
      </x:c>
      <x:c r="N10" s="25" t="n">
        <x:f>IFERROR(D10/G10,0)</x:f>
        <x:v>0</x:v>
      </x:c>
      <x:c r="O10" s="17"/>
      <x:c r="P10" s="17"/>
    </x:row>
    <x:row r="11" ht="15" hidden="0" customHeight="1">
      <x:c r="A11" s="17"/>
      <x:c r="B11" s="17"/>
      <x:c r="C11" s="17"/>
      <x:c r="D11" s="28"/>
      <x:c r="E11" s="28"/>
      <x:c r="F11" s="28"/>
      <x:c r="G11" s="28"/>
      <x:c r="H11" s="28"/>
      <x:c r="I11" s="28"/>
      <x:c r="J11" s="26" t="n">
        <x:f>IFERROR(E11/D11,0)</x:f>
        <x:v>0</x:v>
      </x:c>
      <x:c r="K11" s="29" t="n">
        <x:f>IFERROR(G11/F11,0)</x:f>
        <x:v>0</x:v>
      </x:c>
      <x:c r="L11" s="29" t="n">
        <x:f>IFERROR(H11/G11,0)</x:f>
        <x:v>0</x:v>
      </x:c>
      <x:c r="M11" s="25" t="n">
        <x:f>IFERROR(D11/H11,0)</x:f>
        <x:v>0</x:v>
      </x:c>
      <x:c r="N11" s="25" t="n">
        <x:f>IFERROR(D11/G11,0)</x:f>
        <x:v>0</x:v>
      </x:c>
      <x:c r="O11" s="17"/>
      <x:c r="P11" s="17"/>
    </x:row>
    <x:row r="12" ht="15" hidden="0" customHeight="1">
      <x:c r="A12" s="17"/>
      <x:c r="B12" s="17"/>
      <x:c r="C12" s="17"/>
      <x:c r="D12" s="28"/>
      <x:c r="E12" s="28"/>
      <x:c r="F12" s="28"/>
      <x:c r="G12" s="28"/>
      <x:c r="H12" s="28"/>
      <x:c r="I12" s="28"/>
      <x:c r="J12" s="26" t="n">
        <x:f>IFERROR(E12/D12,0)</x:f>
        <x:v>0</x:v>
      </x:c>
      <x:c r="K12" s="29" t="n">
        <x:f>IFERROR(G12/F12,0)</x:f>
        <x:v>0</x:v>
      </x:c>
      <x:c r="L12" s="29" t="n">
        <x:f>IFERROR(H12/G12,0)</x:f>
        <x:v>0</x:v>
      </x:c>
      <x:c r="M12" s="25" t="n">
        <x:f>IFERROR(D12/H12,0)</x:f>
        <x:v>0</x:v>
      </x:c>
      <x:c r="N12" s="25" t="n">
        <x:f>IFERROR(D12/G12,0)</x:f>
        <x:v>0</x:v>
      </x:c>
      <x:c r="O12" s="17"/>
      <x:c r="P12" s="17"/>
    </x:row>
    <x:row r="13" ht="15" hidden="0" customHeight="1">
      <x:c r="A13" s="17"/>
      <x:c r="B13" s="17"/>
      <x:c r="C13" s="17"/>
      <x:c r="D13" s="28"/>
      <x:c r="E13" s="28"/>
      <x:c r="F13" s="28"/>
      <x:c r="G13" s="28"/>
      <x:c r="H13" s="28"/>
      <x:c r="I13" s="28"/>
      <x:c r="J13" s="26" t="n">
        <x:f>IFERROR(E13/D13,0)</x:f>
        <x:v>0</x:v>
      </x:c>
      <x:c r="K13" s="29" t="n">
        <x:f>IFERROR(G13/F13,0)</x:f>
        <x:v>0</x:v>
      </x:c>
      <x:c r="L13" s="29" t="n">
        <x:f>IFERROR(H13/G13,0)</x:f>
        <x:v>0</x:v>
      </x:c>
      <x:c r="M13" s="25" t="n">
        <x:f>IFERROR(D13/H13,0)</x:f>
        <x:v>0</x:v>
      </x:c>
      <x:c r="N13" s="25" t="n">
        <x:f>IFERROR(D13/G13,0)</x:f>
        <x:v>0</x:v>
      </x:c>
      <x:c r="O13" s="17"/>
      <x:c r="P13" s="17"/>
    </x:row>
    <x:row r="14" ht="15" hidden="0" customHeight="1">
      <x:c r="A14" s="17"/>
      <x:c r="B14" s="17"/>
      <x:c r="C14" s="17"/>
      <x:c r="D14" s="28"/>
      <x:c r="E14" s="28"/>
      <x:c r="F14" s="28"/>
      <x:c r="G14" s="28"/>
      <x:c r="H14" s="28"/>
      <x:c r="I14" s="28"/>
      <x:c r="J14" s="26" t="n">
        <x:f>IFERROR(E14/D14,0)</x:f>
        <x:v>0</x:v>
      </x:c>
      <x:c r="K14" s="29" t="n">
        <x:f>IFERROR(G14/F14,0)</x:f>
        <x:v>0</x:v>
      </x:c>
      <x:c r="L14" s="29" t="n">
        <x:f>IFERROR(H14/G14,0)</x:f>
        <x:v>0</x:v>
      </x:c>
      <x:c r="M14" s="25" t="n">
        <x:f>IFERROR(D14/H14,0)</x:f>
        <x:v>0</x:v>
      </x:c>
      <x:c r="N14" s="25" t="n">
        <x:f>IFERROR(D14/G14,0)</x:f>
        <x:v>0</x:v>
      </x:c>
      <x:c r="O14" s="17"/>
      <x:c r="P14" s="17"/>
    </x:row>
    <x:row r="15" ht="15" hidden="0" customHeight="1">
      <x:c r="A15" s="17"/>
      <x:c r="B15" s="17"/>
      <x:c r="C15" s="17"/>
      <x:c r="D15" s="28"/>
      <x:c r="E15" s="28"/>
      <x:c r="F15" s="28"/>
      <x:c r="G15" s="28"/>
      <x:c r="H15" s="28"/>
      <x:c r="I15" s="28"/>
      <x:c r="J15" s="26" t="n">
        <x:f>IFERROR(E15/D15,0)</x:f>
        <x:v>0</x:v>
      </x:c>
      <x:c r="K15" s="29" t="n">
        <x:f>IFERROR(G15/F15,0)</x:f>
        <x:v>0</x:v>
      </x:c>
      <x:c r="L15" s="29" t="n">
        <x:f>IFERROR(H15/G15,0)</x:f>
        <x:v>0</x:v>
      </x:c>
      <x:c r="M15" s="25" t="n">
        <x:f>IFERROR(D15/H15,0)</x:f>
        <x:v>0</x:v>
      </x:c>
      <x:c r="N15" s="25" t="n">
        <x:f>IFERROR(D15/G15,0)</x:f>
        <x:v>0</x:v>
      </x:c>
      <x:c r="O15" s="17"/>
      <x:c r="P15" s="17"/>
    </x:row>
    <x:row r="16" ht="15" hidden="0" customHeight="1">
      <x:c r="A16" s="17"/>
      <x:c r="B16" s="17"/>
      <x:c r="C16" s="17"/>
      <x:c r="D16" s="28"/>
      <x:c r="E16" s="28"/>
      <x:c r="F16" s="28"/>
      <x:c r="G16" s="28"/>
      <x:c r="H16" s="28"/>
      <x:c r="I16" s="28"/>
      <x:c r="J16" s="26" t="n">
        <x:f>IFERROR(E16/D16,0)</x:f>
        <x:v>0</x:v>
      </x:c>
      <x:c r="K16" s="29" t="n">
        <x:f>IFERROR(G16/F16,0)</x:f>
        <x:v>0</x:v>
      </x:c>
      <x:c r="L16" s="29" t="n">
        <x:f>IFERROR(H16/G16,0)</x:f>
        <x:v>0</x:v>
      </x:c>
      <x:c r="M16" s="25" t="n">
        <x:f>IFERROR(D16/H16,0)</x:f>
        <x:v>0</x:v>
      </x:c>
      <x:c r="N16" s="25" t="n">
        <x:f>IFERROR(D16/G16,0)</x:f>
        <x:v>0</x:v>
      </x:c>
      <x:c r="O16" s="17"/>
      <x:c r="P16" s="17"/>
    </x:row>
    <x:row r="17" ht="15" hidden="0" customHeight="1">
      <x:c r="A17" s="17"/>
      <x:c r="B17" s="17"/>
      <x:c r="C17" s="17"/>
      <x:c r="D17" s="28"/>
      <x:c r="E17" s="28"/>
      <x:c r="F17" s="28"/>
      <x:c r="G17" s="28"/>
      <x:c r="H17" s="28"/>
      <x:c r="I17" s="28"/>
      <x:c r="J17" s="26" t="n">
        <x:f>IFERROR(E17/D17,0)</x:f>
        <x:v>0</x:v>
      </x:c>
      <x:c r="K17" s="29" t="n">
        <x:f>IFERROR(G17/F17,0)</x:f>
        <x:v>0</x:v>
      </x:c>
      <x:c r="L17" s="29" t="n">
        <x:f>IFERROR(H17/G17,0)</x:f>
        <x:v>0</x:v>
      </x:c>
      <x:c r="M17" s="25" t="n">
        <x:f>IFERROR(D17/H17,0)</x:f>
        <x:v>0</x:v>
      </x:c>
      <x:c r="N17" s="25" t="n">
        <x:f>IFERROR(D17/G17,0)</x:f>
        <x:v>0</x:v>
      </x:c>
      <x:c r="O17" s="17"/>
      <x:c r="P17" s="17"/>
    </x:row>
    <x:row r="18" ht="15" hidden="0" customHeight="1">
      <x:c r="A18" s="17"/>
      <x:c r="B18" s="17"/>
      <x:c r="C18" s="17"/>
      <x:c r="D18" s="28"/>
      <x:c r="E18" s="28"/>
      <x:c r="F18" s="28"/>
      <x:c r="G18" s="28"/>
      <x:c r="H18" s="28"/>
      <x:c r="I18" s="28"/>
      <x:c r="J18" s="26" t="n">
        <x:f>IFERROR(E18/D18,0)</x:f>
        <x:v>0</x:v>
      </x:c>
      <x:c r="K18" s="29" t="n">
        <x:f>IFERROR(G18/F18,0)</x:f>
        <x:v>0</x:v>
      </x:c>
      <x:c r="L18" s="29" t="n">
        <x:f>IFERROR(H18/G18,0)</x:f>
        <x:v>0</x:v>
      </x:c>
      <x:c r="M18" s="25" t="n">
        <x:f>IFERROR(D18/H18,0)</x:f>
        <x:v>0</x:v>
      </x:c>
      <x:c r="N18" s="25" t="n">
        <x:f>IFERROR(D18/G18,0)</x:f>
        <x:v>0</x:v>
      </x:c>
      <x:c r="O18" s="17"/>
      <x:c r="P18" s="17"/>
    </x:row>
    <x:row r="19" ht="15" hidden="0" customHeight="1">
      <x:c r="A19" s="17"/>
      <x:c r="B19" s="17"/>
      <x:c r="C19" s="17"/>
      <x:c r="D19" s="28"/>
      <x:c r="E19" s="28"/>
      <x:c r="F19" s="28"/>
      <x:c r="G19" s="28"/>
      <x:c r="H19" s="28"/>
      <x:c r="I19" s="28"/>
      <x:c r="J19" s="26" t="n">
        <x:f>IFERROR(E19/D19,0)</x:f>
        <x:v>0</x:v>
      </x:c>
      <x:c r="K19" s="29" t="n">
        <x:f>IFERROR(G19/F19,0)</x:f>
        <x:v>0</x:v>
      </x:c>
      <x:c r="L19" s="29" t="n">
        <x:f>IFERROR(H19/G19,0)</x:f>
        <x:v>0</x:v>
      </x:c>
      <x:c r="M19" s="25" t="n">
        <x:f>IFERROR(D19/H19,0)</x:f>
        <x:v>0</x:v>
      </x:c>
      <x:c r="N19" s="25" t="n">
        <x:f>IFERROR(D19/G19,0)</x:f>
        <x:v>0</x:v>
      </x:c>
      <x:c r="O19" s="17"/>
      <x:c r="P19" s="17"/>
    </x:row>
    <x:row r="20" ht="15" hidden="0" customHeight="1">
      <x:c r="A20" s="17"/>
      <x:c r="B20" s="17"/>
      <x:c r="C20" s="17"/>
      <x:c r="D20" s="28"/>
      <x:c r="E20" s="28"/>
      <x:c r="F20" s="28"/>
      <x:c r="G20" s="28"/>
      <x:c r="H20" s="28"/>
      <x:c r="I20" s="28"/>
      <x:c r="J20" s="26" t="n">
        <x:f>IFERROR(E20/D20,0)</x:f>
        <x:v>0</x:v>
      </x:c>
      <x:c r="K20" s="29" t="n">
        <x:f>IFERROR(G20/F20,0)</x:f>
        <x:v>0</x:v>
      </x:c>
      <x:c r="L20" s="29" t="n">
        <x:f>IFERROR(H20/G20,0)</x:f>
        <x:v>0</x:v>
      </x:c>
      <x:c r="M20" s="25" t="n">
        <x:f>IFERROR(D20/H20,0)</x:f>
        <x:v>0</x:v>
      </x:c>
      <x:c r="N20" s="25" t="n">
        <x:f>IFERROR(D20/G20,0)</x:f>
        <x:v>0</x:v>
      </x:c>
      <x:c r="O20" s="17"/>
      <x:c r="P20" s="17"/>
    </x:row>
    <x:row r="21" ht="15" hidden="0" customHeight="1">
      <x:c r="A21" s="17"/>
      <x:c r="B21" s="17"/>
      <x:c r="C21" s="17"/>
      <x:c r="D21" s="28"/>
      <x:c r="E21" s="28"/>
      <x:c r="F21" s="28"/>
      <x:c r="G21" s="28"/>
      <x:c r="H21" s="28"/>
      <x:c r="I21" s="28"/>
      <x:c r="J21" s="26" t="n">
        <x:f>IFERROR(E21/D21,0)</x:f>
        <x:v>0</x:v>
      </x:c>
      <x:c r="K21" s="29" t="n">
        <x:f>IFERROR(G21/F21,0)</x:f>
        <x:v>0</x:v>
      </x:c>
      <x:c r="L21" s="29" t="n">
        <x:f>IFERROR(H21/G21,0)</x:f>
        <x:v>0</x:v>
      </x:c>
      <x:c r="M21" s="25" t="n">
        <x:f>IFERROR(D21/H21,0)</x:f>
        <x:v>0</x:v>
      </x:c>
      <x:c r="N21" s="25" t="n">
        <x:f>IFERROR(D21/G21,0)</x:f>
        <x:v>0</x:v>
      </x:c>
      <x:c r="O21" s="17"/>
      <x:c r="P21" s="17"/>
    </x:row>
    <x:row r="22" ht="15" hidden="0" customHeight="1">
      <x:c r="A22" s="17"/>
      <x:c r="B22" s="17"/>
      <x:c r="C22" s="17"/>
      <x:c r="D22" s="28"/>
      <x:c r="E22" s="28"/>
      <x:c r="F22" s="28"/>
      <x:c r="G22" s="28"/>
      <x:c r="H22" s="28"/>
      <x:c r="I22" s="28"/>
      <x:c r="J22" s="26" t="n">
        <x:f>IFERROR(E22/D22,0)</x:f>
        <x:v>0</x:v>
      </x:c>
      <x:c r="K22" s="29" t="n">
        <x:f>IFERROR(G22/F22,0)</x:f>
        <x:v>0</x:v>
      </x:c>
      <x:c r="L22" s="29" t="n">
        <x:f>IFERROR(H22/G22,0)</x:f>
        <x:v>0</x:v>
      </x:c>
      <x:c r="M22" s="25" t="n">
        <x:f>IFERROR(D22/H22,0)</x:f>
        <x:v>0</x:v>
      </x:c>
      <x:c r="N22" s="25" t="n">
        <x:f>IFERROR(D22/G22,0)</x:f>
        <x:v>0</x:v>
      </x:c>
      <x:c r="O22" s="17"/>
      <x:c r="P22" s="17"/>
    </x:row>
    <x:row r="23" ht="15" hidden="0" customHeight="1">
      <x:c r="A23" s="17"/>
      <x:c r="B23" s="17"/>
      <x:c r="C23" s="17"/>
      <x:c r="D23" s="28"/>
      <x:c r="E23" s="28"/>
      <x:c r="F23" s="28"/>
      <x:c r="G23" s="28"/>
      <x:c r="H23" s="28"/>
      <x:c r="I23" s="28"/>
      <x:c r="J23" s="26" t="n">
        <x:f>IFERROR(E23/D23,0)</x:f>
        <x:v>0</x:v>
      </x:c>
      <x:c r="K23" s="29" t="n">
        <x:f>IFERROR(G23/F23,0)</x:f>
        <x:v>0</x:v>
      </x:c>
      <x:c r="L23" s="29" t="n">
        <x:f>IFERROR(H23/G23,0)</x:f>
        <x:v>0</x:v>
      </x:c>
      <x:c r="M23" s="25" t="n">
        <x:f>IFERROR(D23/H23,0)</x:f>
        <x:v>0</x:v>
      </x:c>
      <x:c r="N23" s="25" t="n">
        <x:f>IFERROR(D23/G23,0)</x:f>
        <x:v>0</x:v>
      </x:c>
      <x:c r="O23" s="17"/>
      <x:c r="P23" s="17"/>
    </x:row>
    <x:row r="24" ht="15" hidden="0" customHeight="1">
      <x:c r="A24" s="17"/>
      <x:c r="B24" s="17"/>
      <x:c r="C24" s="17"/>
      <x:c r="D24" s="28"/>
      <x:c r="E24" s="28"/>
      <x:c r="F24" s="28"/>
      <x:c r="G24" s="28"/>
      <x:c r="H24" s="28"/>
      <x:c r="I24" s="28"/>
      <x:c r="J24" s="26" t="n">
        <x:f>IFERROR(E24/D24,0)</x:f>
        <x:v>0</x:v>
      </x:c>
      <x:c r="K24" s="29" t="n">
        <x:f>IFERROR(G24/F24,0)</x:f>
        <x:v>0</x:v>
      </x:c>
      <x:c r="L24" s="29" t="n">
        <x:f>IFERROR(H24/G24,0)</x:f>
        <x:v>0</x:v>
      </x:c>
      <x:c r="M24" s="25" t="n">
        <x:f>IFERROR(D24/H24,0)</x:f>
        <x:v>0</x:v>
      </x:c>
      <x:c r="N24" s="25" t="n">
        <x:f>IFERROR(D24/G24,0)</x:f>
        <x:v>0</x:v>
      </x:c>
      <x:c r="O24" s="17"/>
      <x:c r="P24" s="17"/>
    </x:row>
    <x:row r="25" ht="15" hidden="0" customHeight="1">
      <x:c r="A25" s="17"/>
      <x:c r="B25" s="17"/>
      <x:c r="C25" s="17"/>
      <x:c r="D25" s="28"/>
      <x:c r="E25" s="28"/>
      <x:c r="F25" s="28"/>
      <x:c r="G25" s="28"/>
      <x:c r="H25" s="28"/>
      <x:c r="I25" s="28"/>
      <x:c r="J25" s="26" t="n">
        <x:f>IFERROR(E25/D25,0)</x:f>
        <x:v>0</x:v>
      </x:c>
      <x:c r="K25" s="29" t="n">
        <x:f>IFERROR(G25/F25,0)</x:f>
        <x:v>0</x:v>
      </x:c>
      <x:c r="L25" s="29" t="n">
        <x:f>IFERROR(H25/G25,0)</x:f>
        <x:v>0</x:v>
      </x:c>
      <x:c r="M25" s="25" t="n">
        <x:f>IFERROR(D25/H25,0)</x:f>
        <x:v>0</x:v>
      </x:c>
      <x:c r="N25" s="25" t="n">
        <x:f>IFERROR(D25/G25,0)</x:f>
        <x:v>0</x:v>
      </x:c>
      <x:c r="O25" s="17"/>
      <x:c r="P25" s="17"/>
    </x:row>
    <x:row r="26" ht="15" hidden="0" customHeight="1">
      <x:c r="A26" s="17"/>
      <x:c r="B26" s="17"/>
      <x:c r="C26" s="17"/>
      <x:c r="D26" s="28"/>
      <x:c r="E26" s="28"/>
      <x:c r="F26" s="28"/>
      <x:c r="G26" s="28"/>
      <x:c r="H26" s="28"/>
      <x:c r="I26" s="28"/>
      <x:c r="J26" s="26" t="n">
        <x:f>IFERROR(E26/D26,0)</x:f>
        <x:v>0</x:v>
      </x:c>
      <x:c r="K26" s="29" t="n">
        <x:f>IFERROR(G26/F26,0)</x:f>
        <x:v>0</x:v>
      </x:c>
      <x:c r="L26" s="29" t="n">
        <x:f>IFERROR(H26/G26,0)</x:f>
        <x:v>0</x:v>
      </x:c>
      <x:c r="M26" s="25" t="n">
        <x:f>IFERROR(D26/H26,0)</x:f>
        <x:v>0</x:v>
      </x:c>
      <x:c r="N26" s="25" t="n">
        <x:f>IFERROR(D26/G26,0)</x:f>
        <x:v>0</x:v>
      </x:c>
      <x:c r="O26" s="17"/>
      <x:c r="P26" s="17"/>
    </x:row>
    <x:row r="27" ht="15" hidden="0" customHeight="1">
      <x:c r="A27" s="17"/>
      <x:c r="B27" s="17"/>
      <x:c r="C27" s="17"/>
      <x:c r="D27" s="28"/>
      <x:c r="E27" s="28"/>
      <x:c r="F27" s="28"/>
      <x:c r="G27" s="28"/>
      <x:c r="H27" s="28"/>
      <x:c r="I27" s="28"/>
      <x:c r="J27" s="26" t="n">
        <x:f>IFERROR(E27/D27,0)</x:f>
        <x:v>0</x:v>
      </x:c>
      <x:c r="K27" s="29" t="n">
        <x:f>IFERROR(G27/F27,0)</x:f>
        <x:v>0</x:v>
      </x:c>
      <x:c r="L27" s="29" t="n">
        <x:f>IFERROR(H27/G27,0)</x:f>
        <x:v>0</x:v>
      </x:c>
      <x:c r="M27" s="25" t="n">
        <x:f>IFERROR(D27/H27,0)</x:f>
        <x:v>0</x:v>
      </x:c>
      <x:c r="N27" s="25" t="n">
        <x:f>IFERROR(D27/G27,0)</x:f>
        <x:v>0</x:v>
      </x:c>
      <x:c r="O27" s="17"/>
      <x:c r="P27" s="17"/>
    </x:row>
    <x:row r="28" ht="15" hidden="0" customHeight="1">
      <x:c r="A28" s="17"/>
      <x:c r="B28" s="17"/>
      <x:c r="C28" s="17"/>
      <x:c r="D28" s="28"/>
      <x:c r="E28" s="28"/>
      <x:c r="F28" s="28"/>
      <x:c r="G28" s="28"/>
      <x:c r="H28" s="28"/>
      <x:c r="I28" s="28"/>
      <x:c r="J28" s="26" t="n">
        <x:f>IFERROR(E28/D28,0)</x:f>
        <x:v>0</x:v>
      </x:c>
      <x:c r="K28" s="29" t="n">
        <x:f>IFERROR(G28/F28,0)</x:f>
        <x:v>0</x:v>
      </x:c>
      <x:c r="L28" s="29" t="n">
        <x:f>IFERROR(H28/G28,0)</x:f>
        <x:v>0</x:v>
      </x:c>
      <x:c r="M28" s="25" t="n">
        <x:f>IFERROR(D28/H28,0)</x:f>
        <x:v>0</x:v>
      </x:c>
      <x:c r="N28" s="25" t="n">
        <x:f>IFERROR(D28/G28,0)</x:f>
        <x:v>0</x:v>
      </x:c>
      <x:c r="O28" s="17"/>
      <x:c r="P28" s="17"/>
    </x:row>
    <x:row r="29" ht="15" hidden="0" customHeight="1">
      <x:c r="A29" s="17"/>
      <x:c r="B29" s="17"/>
      <x:c r="C29" s="17"/>
      <x:c r="D29" s="28"/>
      <x:c r="E29" s="28"/>
      <x:c r="F29" s="28"/>
      <x:c r="G29" s="28"/>
      <x:c r="H29" s="28"/>
      <x:c r="I29" s="28"/>
      <x:c r="J29" s="26" t="n">
        <x:f>IFERROR(E29/D29,0)</x:f>
        <x:v>0</x:v>
      </x:c>
      <x:c r="K29" s="29" t="n">
        <x:f>IFERROR(G29/F29,0)</x:f>
        <x:v>0</x:v>
      </x:c>
      <x:c r="L29" s="29" t="n">
        <x:f>IFERROR(H29/G29,0)</x:f>
        <x:v>0</x:v>
      </x:c>
      <x:c r="M29" s="25" t="n">
        <x:f>IFERROR(D29/H29,0)</x:f>
        <x:v>0</x:v>
      </x:c>
      <x:c r="N29" s="25" t="n">
        <x:f>IFERROR(D29/G29,0)</x:f>
        <x:v>0</x:v>
      </x:c>
      <x:c r="O29" s="17"/>
      <x:c r="P29" s="17"/>
    </x:row>
    <x:row r="30" ht="15" hidden="0" customHeight="1">
      <x:c r="A30" s="17"/>
      <x:c r="B30" s="17"/>
      <x:c r="C30" s="17"/>
      <x:c r="D30" s="28"/>
      <x:c r="E30" s="28"/>
      <x:c r="F30" s="28"/>
      <x:c r="G30" s="28"/>
      <x:c r="H30" s="28"/>
      <x:c r="I30" s="28"/>
      <x:c r="J30" s="26" t="n">
        <x:f>IFERROR(E30/D30,0)</x:f>
        <x:v>0</x:v>
      </x:c>
      <x:c r="K30" s="29" t="n">
        <x:f>IFERROR(G30/F30,0)</x:f>
        <x:v>0</x:v>
      </x:c>
      <x:c r="L30" s="29" t="n">
        <x:f>IFERROR(H30/G30,0)</x:f>
        <x:v>0</x:v>
      </x:c>
      <x:c r="M30" s="25" t="n">
        <x:f>IFERROR(D30/H30,0)</x:f>
        <x:v>0</x:v>
      </x:c>
      <x:c r="N30" s="25" t="n">
        <x:f>IFERROR(D30/G30,0)</x:f>
        <x:v>0</x:v>
      </x:c>
      <x:c r="O30" s="17"/>
      <x:c r="P30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5.889999866485596" hidden="0" customWidth="1"/>
    <x:col min="3" max="3" width="7.889999866485596" hidden="0" customWidth="1"/>
    <x:col min="4" max="4" width="7.329999923706055" hidden="0" customWidth="1"/>
    <x:col min="5" max="5" width="6.889999866485596" hidden="0" customWidth="1"/>
    <x:col min="6" max="6" width="6.889999866485596" hidden="0" customWidth="1"/>
    <x:col min="7" max="7" width="9.4399995803833" hidden="0" customWidth="1"/>
    <x:col min="8" max="8" width="7.110000133514404" hidden="0" customWidth="1"/>
    <x:col min="9" max="9" width="4.329999923706055" hidden="0" customWidth="1"/>
    <x:col min="10" max="10" width="3.109999895095825" hidden="0" customWidth="1"/>
    <x:col min="11" max="11" width="9" hidden="0" customWidth="1"/>
  </x:cols>
  <x:sheetData>
    <x:row r="1" ht="15" hidden="0" customHeight="1">
      <x:c r="A1" s="23" t="str">
        <x:v>client_id</x:v>
      </x:c>
      <x:c r="B1" s="23" t="str">
        <x:v>기준월</x:v>
      </x:c>
      <x:c r="C1" s="23" t="str">
        <x:v>목표매출</x:v>
      </x:c>
      <x:c r="D1" s="23" t="str">
        <x:v>목표ROAS</x:v>
      </x:c>
      <x:c r="E1" s="23" t="str">
        <x:v>목표구매수</x:v>
      </x:c>
      <x:c r="F1" s="23" t="str">
        <x:v>목표리뷰수</x:v>
      </x:c>
      <x:c r="G1" s="23" t="str">
        <x:v>목표키워드순위</x:v>
      </x:c>
      <x:c r="H1" s="23" t="str">
        <x:v>실제매출</x:v>
      </x:c>
      <x:c r="I1" s="23" t="str">
        <x:v>달성률</x:v>
      </x:c>
      <x:c r="J1" s="23" t="str">
        <x:v>상태</x:v>
      </x:c>
      <x:c r="K1" s="23" t="str">
        <x:v>메모</x:v>
      </x:c>
    </x:row>
    <x:row r="2" ht="15" hidden="0" customHeight="1">
      <x:c r="A2" s="17" t="str">
        <x:v>MI-CLIENT-001</x:v>
      </x:c>
      <x:c r="B2" s="17" t="str">
        <x:v>2026-06</x:v>
      </x:c>
      <x:c r="C2" s="28" t="n">
        <x:v>36000000</x:v>
      </x:c>
      <x:c r="D2" s="30" t="n">
        <x:v>5</x:v>
      </x:c>
      <x:c r="E2" s="17" t="n">
        <x:v>1200</x:v>
      </x:c>
      <x:c r="F2" s="17" t="n">
        <x:v>80</x:v>
      </x:c>
      <x:c r="G2" s="17" t="n">
        <x:v>3</x:v>
      </x:c>
      <x:c r="H2" s="17" t="n">
        <x:v>41800000</x:v>
      </x:c>
      <x:c r="I2" s="27" t="n">
        <x:f>IFERROR(H2/C2,0)</x:f>
        <x:v>1.1611111111111112</x:v>
      </x:c>
      <x:c r="J2" s="16" t="str">
        <x:f>IF(A2="","",IF(I2&gt;=1,"달성",IF(I2&gt;=0.8,"추적","위험")))</x:f>
        <x:v>달성</x:v>
      </x:c>
      <x:c r="K2" s="17" t="str">
        <x:v>월간 목표 초과</x:v>
      </x:c>
    </x:row>
    <x:row r="3" ht="15" hidden="0" customHeight="1">
      <x:c r="A3" s="17" t="str">
        <x:v>MI-CLIENT-002</x:v>
      </x:c>
      <x:c r="B3" s="17" t="str">
        <x:v>2026-06</x:v>
      </x:c>
      <x:c r="C3" s="28" t="n">
        <x:v>18000000</x:v>
      </x:c>
      <x:c r="D3" s="30" t="n">
        <x:v>4</x:v>
      </x:c>
      <x:c r="E3" s="17" t="n">
        <x:v>500</x:v>
      </x:c>
      <x:c r="F3" s="17" t="n">
        <x:v>30</x:v>
      </x:c>
      <x:c r="G3" s="17" t="n">
        <x:v>10</x:v>
      </x:c>
      <x:c r="H3" s="17" t="n">
        <x:v>0</x:v>
      </x:c>
      <x:c r="I3" s="27" t="n">
        <x:f>IFERROR(H3/C3,0)</x:f>
        <x:v>0</x:v>
      </x:c>
      <x:c r="J3" s="16" t="str">
        <x:f>IF(A3="","",IF(I3&gt;=1,"달성",IF(I3&gt;=0.8,"추적","위험")))</x:f>
        <x:v>위험</x:v>
      </x:c>
      <x:c r="K3" s="17" t="str">
        <x:v>초기 세팅 필요</x:v>
      </x:c>
    </x:row>
    <x:row r="4" ht="15" hidden="0" customHeight="1">
      <x:c r="A4" s="17" t="str">
        <x:v>MI-CLIENT-003</x:v>
      </x:c>
      <x:c r="B4" s="17" t="str">
        <x:v>2026-06</x:v>
      </x:c>
      <x:c r="C4" s="28" t="n">
        <x:v>26000000</x:v>
      </x:c>
      <x:c r="D4" s="30" t="n">
        <x:v>4.5</x:v>
      </x:c>
      <x:c r="E4" s="17" t="n">
        <x:v>780</x:v>
      </x:c>
      <x:c r="F4" s="17" t="n">
        <x:v>50</x:v>
      </x:c>
      <x:c r="G4" s="17" t="n">
        <x:v>5</x:v>
      </x:c>
      <x:c r="H4" s="17" t="n">
        <x:v>29100000</x:v>
      </x:c>
      <x:c r="I4" s="27" t="n">
        <x:f>IFERROR(H4/C4,0)</x:f>
        <x:v>1.1192307692307693</x:v>
      </x:c>
      <x:c r="J4" s="16" t="str">
        <x:f>IF(A4="","",IF(I4&gt;=1,"달성",IF(I4&gt;=0.8,"추적","위험")))</x:f>
        <x:v>달성</x:v>
      </x:c>
      <x:c r="K4" s="17" t="str">
        <x:v>안정</x:v>
      </x:c>
    </x:row>
    <x:row r="5" ht="15" hidden="0" customHeight="1">
      <x:c r="A5" s="17" t="str"/>
      <x:c r="B5" s="17" t="str"/>
      <x:c r="C5" s="28" t="str"/>
      <x:c r="D5" s="30" t="str"/>
      <x:c r="E5" s="17" t="str"/>
      <x:c r="F5" s="17" t="str"/>
      <x:c r="G5" s="17" t="str"/>
      <x:c r="H5" s="17" t="str"/>
      <x:c r="I5" s="27" t="n">
        <x:f>IFERROR(H5/C5,0)</x:f>
        <x:v>0</x:v>
      </x:c>
      <x:c r="J5" s="16" t="str">
        <x:f>IF(A5="","",IF(I5&gt;=1,"달성",IF(I5&gt;=0.8,"추적","위험")))</x:f>
      </x:c>
      <x:c r="K5" s="17" t="str"/>
    </x:row>
    <x:row r="6" ht="15" hidden="0" customHeight="1">
      <x:c r="A6" s="17" t="str"/>
      <x:c r="B6" s="17" t="str"/>
      <x:c r="C6" s="28" t="str"/>
      <x:c r="D6" s="30" t="str"/>
      <x:c r="E6" s="17" t="str"/>
      <x:c r="F6" s="17" t="str"/>
      <x:c r="G6" s="17" t="str"/>
      <x:c r="H6" s="17" t="str"/>
      <x:c r="I6" s="27" t="n">
        <x:f>IFERROR(H6/C6,0)</x:f>
        <x:v>0</x:v>
      </x:c>
      <x:c r="J6" s="16" t="str">
        <x:f>IF(A6="","",IF(I6&gt;=1,"달성",IF(I6&gt;=0.8,"추적","위험")))</x:f>
      </x:c>
      <x:c r="K6" s="17" t="str"/>
    </x:row>
    <x:row r="7" ht="15" hidden="0" customHeight="1">
      <x:c r="A7" s="17"/>
      <x:c r="B7" s="17"/>
      <x:c r="C7" s="28"/>
      <x:c r="D7" s="30"/>
      <x:c r="E7" s="17"/>
      <x:c r="F7" s="17"/>
      <x:c r="G7" s="17"/>
      <x:c r="H7" s="17"/>
      <x:c r="I7" s="27" t="n">
        <x:f>IFERROR(H7/C7,0)</x:f>
        <x:v>0</x:v>
      </x:c>
      <x:c r="J7" s="16" t="str">
        <x:f>IF(A7="","",IF(I7&gt;=1,"달성",IF(I7&gt;=0.8,"추적","위험")))</x:f>
      </x:c>
      <x:c r="K7" s="17"/>
    </x:row>
    <x:row r="8" ht="15" hidden="0" customHeight="1">
      <x:c r="A8" s="17"/>
      <x:c r="B8" s="17"/>
      <x:c r="C8" s="28"/>
      <x:c r="D8" s="30"/>
      <x:c r="E8" s="17"/>
      <x:c r="F8" s="17"/>
      <x:c r="G8" s="17"/>
      <x:c r="H8" s="17"/>
      <x:c r="I8" s="27" t="n">
        <x:f>IFERROR(H8/C8,0)</x:f>
        <x:v>0</x:v>
      </x:c>
      <x:c r="J8" s="16" t="str">
        <x:f>IF(A8="","",IF(I8&gt;=1,"달성",IF(I8&gt;=0.8,"추적","위험")))</x:f>
      </x:c>
      <x:c r="K8" s="17"/>
    </x:row>
    <x:row r="9" ht="15" hidden="0" customHeight="1">
      <x:c r="A9" s="17"/>
      <x:c r="B9" s="17"/>
      <x:c r="C9" s="28"/>
      <x:c r="D9" s="30"/>
      <x:c r="E9" s="17"/>
      <x:c r="F9" s="17"/>
      <x:c r="G9" s="17"/>
      <x:c r="H9" s="17"/>
      <x:c r="I9" s="27" t="n">
        <x:f>IFERROR(H9/C9,0)</x:f>
        <x:v>0</x:v>
      </x:c>
      <x:c r="J9" s="16" t="str">
        <x:f>IF(A9="","",IF(I9&gt;=1,"달성",IF(I9&gt;=0.8,"추적","위험")))</x:f>
      </x:c>
      <x:c r="K9" s="17"/>
    </x:row>
    <x:row r="10" ht="15" hidden="0" customHeight="1">
      <x:c r="A10" s="17"/>
      <x:c r="B10" s="17"/>
      <x:c r="C10" s="28"/>
      <x:c r="D10" s="30"/>
      <x:c r="E10" s="17"/>
      <x:c r="F10" s="17"/>
      <x:c r="G10" s="17"/>
      <x:c r="H10" s="17"/>
      <x:c r="I10" s="27" t="n">
        <x:f>IFERROR(H10/C10,0)</x:f>
        <x:v>0</x:v>
      </x:c>
      <x:c r="J10" s="16" t="str">
        <x:f>IF(A10="","",IF(I10&gt;=1,"달성",IF(I10&gt;=0.8,"추적","위험")))</x:f>
      </x:c>
      <x:c r="K10" s="17"/>
    </x:row>
    <x:row r="11" ht="15" hidden="0" customHeight="1">
      <x:c r="A11" s="17"/>
      <x:c r="B11" s="17"/>
      <x:c r="C11" s="28"/>
      <x:c r="D11" s="30"/>
      <x:c r="E11" s="17"/>
      <x:c r="F11" s="17"/>
      <x:c r="G11" s="17"/>
      <x:c r="H11" s="17"/>
      <x:c r="I11" s="27" t="n">
        <x:f>IFERROR(H11/C11,0)</x:f>
        <x:v>0</x:v>
      </x:c>
      <x:c r="J11" s="16" t="str">
        <x:f>IF(A11="","",IF(I11&gt;=1,"달성",IF(I11&gt;=0.8,"추적","위험")))</x:f>
      </x:c>
      <x:c r="K11" s="17"/>
    </x:row>
    <x:row r="12" ht="15" hidden="0" customHeight="1">
      <x:c r="A12" s="17"/>
      <x:c r="B12" s="17"/>
      <x:c r="C12" s="28"/>
      <x:c r="D12" s="30"/>
      <x:c r="E12" s="17"/>
      <x:c r="F12" s="17"/>
      <x:c r="G12" s="17"/>
      <x:c r="H12" s="17"/>
      <x:c r="I12" s="27" t="n">
        <x:f>IFERROR(H12/C12,0)</x:f>
        <x:v>0</x:v>
      </x:c>
      <x:c r="J12" s="16" t="str">
        <x:f>IF(A12="","",IF(I12&gt;=1,"달성",IF(I12&gt;=0.8,"추적","위험")))</x:f>
      </x:c>
      <x:c r="K12" s="17"/>
    </x:row>
    <x:row r="13" ht="15" hidden="0" customHeight="1">
      <x:c r="A13" s="17"/>
      <x:c r="B13" s="17"/>
      <x:c r="C13" s="28"/>
      <x:c r="D13" s="30"/>
      <x:c r="E13" s="17"/>
      <x:c r="F13" s="17"/>
      <x:c r="G13" s="17"/>
      <x:c r="H13" s="17"/>
      <x:c r="I13" s="27" t="n">
        <x:f>IFERROR(H13/C13,0)</x:f>
        <x:v>0</x:v>
      </x:c>
      <x:c r="J13" s="16" t="str">
        <x:f>IF(A13="","",IF(I13&gt;=1,"달성",IF(I13&gt;=0.8,"추적","위험")))</x:f>
      </x:c>
      <x:c r="K13" s="17"/>
    </x:row>
    <x:row r="14" ht="15" hidden="0" customHeight="1">
      <x:c r="A14" s="17"/>
      <x:c r="B14" s="17"/>
      <x:c r="C14" s="28"/>
      <x:c r="D14" s="30"/>
      <x:c r="E14" s="17"/>
      <x:c r="F14" s="17"/>
      <x:c r="G14" s="17"/>
      <x:c r="H14" s="17"/>
      <x:c r="I14" s="27" t="n">
        <x:f>IFERROR(H14/C14,0)</x:f>
        <x:v>0</x:v>
      </x:c>
      <x:c r="J14" s="16" t="str">
        <x:f>IF(A14="","",IF(I14&gt;=1,"달성",IF(I14&gt;=0.8,"추적","위험")))</x:f>
      </x:c>
      <x:c r="K14" s="17"/>
    </x:row>
    <x:row r="15" ht="15" hidden="0" customHeight="1">
      <x:c r="A15" s="17"/>
      <x:c r="B15" s="17"/>
      <x:c r="C15" s="28"/>
      <x:c r="D15" s="30"/>
      <x:c r="E15" s="17"/>
      <x:c r="F15" s="17"/>
      <x:c r="G15" s="17"/>
      <x:c r="H15" s="17"/>
      <x:c r="I15" s="27" t="n">
        <x:f>IFERROR(H15/C15,0)</x:f>
        <x:v>0</x:v>
      </x:c>
      <x:c r="J15" s="16" t="str">
        <x:f>IF(A15="","",IF(I15&gt;=1,"달성",IF(I15&gt;=0.8,"추적","위험")))</x:f>
      </x:c>
      <x:c r="K15" s="17"/>
    </x:row>
    <x:row r="16" ht="15" hidden="0" customHeight="1">
      <x:c r="A16" s="17"/>
      <x:c r="B16" s="17"/>
      <x:c r="C16" s="28"/>
      <x:c r="D16" s="30"/>
      <x:c r="E16" s="17"/>
      <x:c r="F16" s="17"/>
      <x:c r="G16" s="17"/>
      <x:c r="H16" s="17"/>
      <x:c r="I16" s="27" t="n">
        <x:f>IFERROR(H16/C16,0)</x:f>
        <x:v>0</x:v>
      </x:c>
      <x:c r="J16" s="16" t="str">
        <x:f>IF(A16="","",IF(I16&gt;=1,"달성",IF(I16&gt;=0.8,"추적","위험")))</x:f>
      </x:c>
      <x:c r="K16" s="17"/>
    </x:row>
    <x:row r="17" ht="15" hidden="0" customHeight="1">
      <x:c r="A17" s="17"/>
      <x:c r="B17" s="17"/>
      <x:c r="C17" s="28"/>
      <x:c r="D17" s="30"/>
      <x:c r="E17" s="17"/>
      <x:c r="F17" s="17"/>
      <x:c r="G17" s="17"/>
      <x:c r="H17" s="17"/>
      <x:c r="I17" s="27" t="n">
        <x:f>IFERROR(H17/C17,0)</x:f>
        <x:v>0</x:v>
      </x:c>
      <x:c r="J17" s="16" t="str">
        <x:f>IF(A17="","",IF(I17&gt;=1,"달성",IF(I17&gt;=0.8,"추적","위험")))</x:f>
      </x:c>
      <x:c r="K17" s="17"/>
    </x:row>
    <x:row r="18" ht="15" hidden="0" customHeight="1">
      <x:c r="A18" s="17"/>
      <x:c r="B18" s="17"/>
      <x:c r="C18" s="28"/>
      <x:c r="D18" s="30"/>
      <x:c r="E18" s="17"/>
      <x:c r="F18" s="17"/>
      <x:c r="G18" s="17"/>
      <x:c r="H18" s="17"/>
      <x:c r="I18" s="27" t="n">
        <x:f>IFERROR(H18/C18,0)</x:f>
        <x:v>0</x:v>
      </x:c>
      <x:c r="J18" s="16" t="str">
        <x:f>IF(A18="","",IF(I18&gt;=1,"달성",IF(I18&gt;=0.8,"추적","위험")))</x:f>
      </x:c>
      <x:c r="K18" s="17"/>
    </x:row>
    <x:row r="19" ht="15" hidden="0" customHeight="1">
      <x:c r="A19" s="17"/>
      <x:c r="B19" s="17"/>
      <x:c r="C19" s="28"/>
      <x:c r="D19" s="30"/>
      <x:c r="E19" s="17"/>
      <x:c r="F19" s="17"/>
      <x:c r="G19" s="17"/>
      <x:c r="H19" s="17"/>
      <x:c r="I19" s="27" t="n">
        <x:f>IFERROR(H19/C19,0)</x:f>
        <x:v>0</x:v>
      </x:c>
      <x:c r="J19" s="16" t="str">
        <x:f>IF(A19="","",IF(I19&gt;=1,"달성",IF(I19&gt;=0.8,"추적","위험")))</x:f>
      </x:c>
      <x:c r="K19" s="17"/>
    </x:row>
    <x:row r="20" ht="15" hidden="0" customHeight="1">
      <x:c r="A20" s="17"/>
      <x:c r="B20" s="17"/>
      <x:c r="C20" s="28"/>
      <x:c r="D20" s="30"/>
      <x:c r="E20" s="17"/>
      <x:c r="F20" s="17"/>
      <x:c r="G20" s="17"/>
      <x:c r="H20" s="17"/>
      <x:c r="I20" s="27" t="n">
        <x:f>IFERROR(H20/C20,0)</x:f>
        <x:v>0</x:v>
      </x:c>
      <x:c r="J20" s="16" t="str">
        <x:f>IF(A20="","",IF(I20&gt;=1,"달성",IF(I20&gt;=0.8,"추적","위험")))</x:f>
      </x:c>
      <x:c r="K20" s="17"/>
    </x:row>
    <x:row r="21" ht="15" hidden="0" customHeight="1">
      <x:c r="A21" s="17"/>
      <x:c r="B21" s="17"/>
      <x:c r="C21" s="28"/>
      <x:c r="D21" s="30"/>
      <x:c r="E21" s="17"/>
      <x:c r="F21" s="17"/>
      <x:c r="G21" s="17"/>
      <x:c r="H21" s="17"/>
      <x:c r="I21" s="27" t="n">
        <x:f>IFERROR(H21/C21,0)</x:f>
        <x:v>0</x:v>
      </x:c>
      <x:c r="J21" s="16" t="str">
        <x:f>IF(A21="","",IF(I21&gt;=1,"달성",IF(I21&gt;=0.8,"추적","위험")))</x:f>
      </x:c>
      <x:c r="K21" s="17"/>
    </x:row>
    <x:row r="22" ht="15" hidden="0" customHeight="1">
      <x:c r="A22" s="17"/>
      <x:c r="B22" s="17"/>
      <x:c r="C22" s="28"/>
      <x:c r="D22" s="30"/>
      <x:c r="E22" s="17"/>
      <x:c r="F22" s="17"/>
      <x:c r="G22" s="17"/>
      <x:c r="H22" s="17"/>
      <x:c r="I22" s="27" t="n">
        <x:f>IFERROR(H22/C22,0)</x:f>
        <x:v>0</x:v>
      </x:c>
      <x:c r="J22" s="16" t="str">
        <x:f>IF(A22="","",IF(I22&gt;=1,"달성",IF(I22&gt;=0.8,"추적","위험")))</x:f>
      </x:c>
      <x:c r="K22" s="17"/>
    </x:row>
    <x:row r="23" ht="15" hidden="0" customHeight="1">
      <x:c r="A23" s="17"/>
      <x:c r="B23" s="17"/>
      <x:c r="C23" s="28"/>
      <x:c r="D23" s="30"/>
      <x:c r="E23" s="17"/>
      <x:c r="F23" s="17"/>
      <x:c r="G23" s="17"/>
      <x:c r="H23" s="17"/>
      <x:c r="I23" s="27" t="n">
        <x:f>IFERROR(H23/C23,0)</x:f>
        <x:v>0</x:v>
      </x:c>
      <x:c r="J23" s="16" t="str">
        <x:f>IF(A23="","",IF(I23&gt;=1,"달성",IF(I23&gt;=0.8,"추적","위험")))</x:f>
      </x:c>
      <x:c r="K23" s="17"/>
    </x:row>
    <x:row r="24" ht="15" hidden="0" customHeight="1">
      <x:c r="A24" s="17"/>
      <x:c r="B24" s="17"/>
      <x:c r="C24" s="28"/>
      <x:c r="D24" s="30"/>
      <x:c r="E24" s="17"/>
      <x:c r="F24" s="17"/>
      <x:c r="G24" s="17"/>
      <x:c r="H24" s="17"/>
      <x:c r="I24" s="27" t="n">
        <x:f>IFERROR(H24/C24,0)</x:f>
        <x:v>0</x:v>
      </x:c>
      <x:c r="J24" s="16" t="str">
        <x:f>IF(A24="","",IF(I24&gt;=1,"달성",IF(I24&gt;=0.8,"추적","위험")))</x:f>
      </x:c>
      <x:c r="K24" s="17"/>
    </x:row>
    <x:row r="25" ht="15" hidden="0" customHeight="1">
      <x:c r="A25" s="17"/>
      <x:c r="B25" s="17"/>
      <x:c r="C25" s="28"/>
      <x:c r="D25" s="30"/>
      <x:c r="E25" s="17"/>
      <x:c r="F25" s="17"/>
      <x:c r="G25" s="17"/>
      <x:c r="H25" s="17"/>
      <x:c r="I25" s="27" t="n">
        <x:f>IFERROR(H25/C25,0)</x:f>
        <x:v>0</x:v>
      </x:c>
      <x:c r="J25" s="16" t="str">
        <x:f>IF(A25="","",IF(I25&gt;=1,"달성",IF(I25&gt;=0.8,"추적","위험")))</x:f>
      </x:c>
      <x:c r="K25" s="17"/>
    </x:row>
    <x:row r="26" ht="15" hidden="0" customHeight="1">
      <x:c r="A26" s="17"/>
      <x:c r="B26" s="17"/>
      <x:c r="C26" s="28"/>
      <x:c r="D26" s="30"/>
      <x:c r="E26" s="17"/>
      <x:c r="F26" s="17"/>
      <x:c r="G26" s="17"/>
      <x:c r="H26" s="17"/>
      <x:c r="I26" s="27" t="n">
        <x:f>IFERROR(H26/C26,0)</x:f>
        <x:v>0</x:v>
      </x:c>
      <x:c r="J26" s="16" t="str">
        <x:f>IF(A26="","",IF(I26&gt;=1,"달성",IF(I26&gt;=0.8,"추적","위험")))</x:f>
      </x:c>
      <x:c r="K26" s="17"/>
    </x:row>
    <x:row r="27" ht="15" hidden="0" customHeight="1">
      <x:c r="A27" s="17"/>
      <x:c r="B27" s="17"/>
      <x:c r="C27" s="28"/>
      <x:c r="D27" s="30"/>
      <x:c r="E27" s="17"/>
      <x:c r="F27" s="17"/>
      <x:c r="G27" s="17"/>
      <x:c r="H27" s="17"/>
      <x:c r="I27" s="27" t="n">
        <x:f>IFERROR(H27/C27,0)</x:f>
        <x:v>0</x:v>
      </x:c>
      <x:c r="J27" s="16" t="str">
        <x:f>IF(A27="","",IF(I27&gt;=1,"달성",IF(I27&gt;=0.8,"추적","위험")))</x:f>
      </x:c>
      <x:c r="K27" s="17"/>
    </x:row>
    <x:row r="28" ht="15" hidden="0" customHeight="1">
      <x:c r="A28" s="17"/>
      <x:c r="B28" s="17"/>
      <x:c r="C28" s="28"/>
      <x:c r="D28" s="30"/>
      <x:c r="E28" s="17"/>
      <x:c r="F28" s="17"/>
      <x:c r="G28" s="17"/>
      <x:c r="H28" s="17"/>
      <x:c r="I28" s="27" t="n">
        <x:f>IFERROR(H28/C28,0)</x:f>
        <x:v>0</x:v>
      </x:c>
      <x:c r="J28" s="16" t="str">
        <x:f>IF(A28="","",IF(I28&gt;=1,"달성",IF(I28&gt;=0.8,"추적","위험")))</x:f>
      </x:c>
      <x:c r="K28" s="17"/>
    </x:row>
    <x:row r="29" ht="15" hidden="0" customHeight="1">
      <x:c r="A29" s="17"/>
      <x:c r="B29" s="17"/>
      <x:c r="C29" s="28"/>
      <x:c r="D29" s="30"/>
      <x:c r="E29" s="17"/>
      <x:c r="F29" s="17"/>
      <x:c r="G29" s="17"/>
      <x:c r="H29" s="17"/>
      <x:c r="I29" s="27" t="n">
        <x:f>IFERROR(H29/C29,0)</x:f>
        <x:v>0</x:v>
      </x:c>
      <x:c r="J29" s="16" t="str">
        <x:f>IF(A29="","",IF(I29&gt;=1,"달성",IF(I29&gt;=0.8,"추적","위험")))</x:f>
      </x:c>
      <x:c r="K29" s="17"/>
    </x:row>
    <x:row r="30" ht="15" hidden="0" customHeight="1">
      <x:c r="A30" s="17"/>
      <x:c r="B30" s="17"/>
      <x:c r="C30" s="28"/>
      <x:c r="D30" s="30"/>
      <x:c r="E30" s="17"/>
      <x:c r="F30" s="17"/>
      <x:c r="G30" s="17"/>
      <x:c r="H30" s="17"/>
      <x:c r="I30" s="27" t="n">
        <x:f>IFERROR(H30/C30,0)</x:f>
        <x:v>0</x:v>
      </x:c>
      <x:c r="J30" s="16" t="str">
        <x:f>IF(A30="","",IF(I30&gt;=1,"달성",IF(I30&gt;=0.8,"추적","위험")))</x:f>
      </x:c>
      <x:c r="K30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889999866485596" hidden="0" customWidth="1"/>
    <x:col min="2" max="2" width="10.779999732971191" hidden="0" customWidth="1"/>
    <x:col min="3" max="3" width="7.329999923706055" hidden="0" customWidth="1"/>
    <x:col min="4" max="4" width="9.779999732971191" hidden="0" customWidth="1"/>
    <x:col min="5" max="5" width="19.780000686645508" hidden="0" customWidth="1"/>
    <x:col min="6" max="6" width="6.889999866485596" hidden="0" customWidth="1"/>
    <x:col min="7" max="7" width="9.4399995803833" hidden="0" customWidth="1"/>
    <x:col min="8" max="8" width="6" hidden="0" customWidth="1"/>
    <x:col min="9" max="9" width="7.329999923706055" hidden="0" customWidth="1"/>
    <x:col min="10" max="10" width="12" hidden="0" customWidth="1"/>
  </x:cols>
  <x:sheetData>
    <x:row r="1" ht="15" hidden="0" customHeight="1">
      <x:c r="A1" s="23" t="str">
        <x:v>report_id</x:v>
      </x:c>
      <x:c r="B1" s="23" t="str">
        <x:v>client_id</x:v>
      </x:c>
      <x:c r="C1" s="23" t="str">
        <x:v>보고서유형</x:v>
      </x:c>
      <x:c r="D1" s="23" t="str">
        <x:v>기준기간</x:v>
      </x:c>
      <x:c r="E1" s="23" t="str">
        <x:v>파일/링크</x:v>
      </x:c>
      <x:c r="F1" s="23" t="str">
        <x:v>관리자컨펌</x:v>
      </x:c>
      <x:c r="G1" s="23" t="str">
        <x:v>광고주공유여부</x:v>
      </x:c>
      <x:c r="H1" s="23" t="str">
        <x:v>전달상태</x:v>
      </x:c>
      <x:c r="I1" s="23" t="str">
        <x:v>담당자</x:v>
      </x:c>
      <x:c r="J1" s="23" t="str">
        <x:v>메모</x:v>
      </x:c>
    </x:row>
    <x:row r="2" ht="15" hidden="0" customHeight="1">
      <x:c r="A2" s="17" t="str">
        <x:v>R-001</x:v>
      </x:c>
      <x:c r="B2" s="17" t="str">
        <x:v>MI-CLIENT-001</x:v>
      </x:c>
      <x:c r="C2" s="17" t="str">
        <x:v>주간 보고서</x:v>
      </x:c>
      <x:c r="D2" s="17" t="str">
        <x:v>2026-06 2주차</x:v>
      </x:c>
      <x:c r="E2" s="17" t="str">
        <x:v>https://drive.example/weekly</x:v>
      </x:c>
      <x:c r="F2" s="17" t="str">
        <x:v>승인</x:v>
      </x:c>
      <x:c r="G2" s="17" t="str">
        <x:v>Y</x:v>
      </x:c>
      <x:c r="H2" s="17" t="str">
        <x:v>전달 예정</x:v>
      </x:c>
      <x:c r="I2" s="17" t="str">
        <x:v>운영 관리자</x:v>
      </x:c>
      <x:c r="J2" s="17" t="str">
        <x:v>내부 메모 제거 완료</x:v>
      </x:c>
    </x:row>
    <x:row r="3" ht="15" hidden="0" customHeight="1">
      <x:c r="A3" s="17" t="str">
        <x:v>R-002</x:v>
      </x:c>
      <x:c r="B3" s="17" t="str">
        <x:v>MI-CLIENT-001</x:v>
      </x:c>
      <x:c r="C3" s="17" t="str">
        <x:v>월간 보고서</x:v>
      </x:c>
      <x:c r="D3" s="17" t="str">
        <x:v>2026-06</x:v>
      </x:c>
      <x:c r="E3" s="17" t="str">
        <x:v>https://drive.example/monthly</x:v>
      </x:c>
      <x:c r="F3" s="17" t="str">
        <x:v>대기</x:v>
      </x:c>
      <x:c r="G3" s="17" t="str">
        <x:v>N</x:v>
      </x:c>
      <x:c r="H3" s="17" t="str">
        <x:v>준비 중</x:v>
      </x:c>
      <x:c r="I3" s="17" t="str">
        <x:v>운영 관리자</x:v>
      </x:c>
      <x:c r="J3" s="17" t="str">
        <x:v>수치 검수 중</x:v>
      </x:c>
    </x:row>
    <x:row r="4" ht="15" hidden="0" customHeight="1">
      <x:c r="A4" s="17" t="str">
        <x:v>R-003</x:v>
      </x:c>
      <x:c r="B4" s="17" t="str">
        <x:v>MI-CLIENT-003</x:v>
      </x:c>
      <x:c r="C4" s="17" t="str">
        <x:v>KPI 보고서</x:v>
      </x:c>
      <x:c r="D4" s="17" t="str">
        <x:v>2026-06</x:v>
      </x:c>
      <x:c r="E4" s="17" t="str">
        <x:v>https://drive.example/kpi</x:v>
      </x:c>
      <x:c r="F4" s="17" t="str">
        <x:v>승인</x:v>
      </x:c>
      <x:c r="G4" s="17" t="str">
        <x:v>Y</x:v>
      </x:c>
      <x:c r="H4" s="17" t="str">
        <x:v>전달 완료</x:v>
      </x:c>
      <x:c r="I4" s="17" t="str">
        <x:v>팀장</x:v>
      </x:c>
      <x:c r="J4" s="17" t="str">
        <x:v>정상</x:v>
      </x:c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 ht="15" hidden="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15" hidden="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15" hidden="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15" hidden="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5" hidden="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10.779999732971191" hidden="0" customWidth="1"/>
    <x:col min="3" max="3" width="8.109999656677246" hidden="0" customWidth="1"/>
    <x:col min="4" max="4" width="5.670000076293945" hidden="0" customWidth="1"/>
    <x:col min="5" max="5" width="10.329999923706055" hidden="0" customWidth="1"/>
    <x:col min="6" max="6" width="15.890000343322754" hidden="0" customWidth="1"/>
    <x:col min="7" max="7" width="6" hidden="0" customWidth="1"/>
    <x:col min="8" max="8" width="5.670000076293945" hidden="0" customWidth="1"/>
    <x:col min="9" max="9" width="7.329999923706055" hidden="0" customWidth="1"/>
    <x:col min="10" max="10" width="13.220000267028809" hidden="0" customWidth="1"/>
  </x:cols>
  <x:sheetData>
    <x:row r="1" ht="15" hidden="0" customHeight="1">
      <x:c r="A1" s="23" t="str">
        <x:v>schedule_id</x:v>
      </x:c>
      <x:c r="B1" s="23" t="str">
        <x:v>client_id</x:v>
      </x:c>
      <x:c r="C1" s="23" t="str">
        <x:v>일자</x:v>
      </x:c>
      <x:c r="D1" s="23" t="str">
        <x:v>일정유형</x:v>
      </x:c>
      <x:c r="E1" s="23" t="str">
        <x:v>제목</x:v>
      </x:c>
      <x:c r="F1" s="23" t="str">
        <x:v>상세</x:v>
      </x:c>
      <x:c r="G1" s="23" t="str">
        <x:v>상태</x:v>
      </x:c>
      <x:c r="H1" s="23" t="str">
        <x:v>공개여부</x:v>
      </x:c>
      <x:c r="I1" s="23" t="str">
        <x:v>담당자</x:v>
      </x:c>
      <x:c r="J1" s="23" t="str">
        <x:v>메모</x:v>
      </x:c>
    </x:row>
    <x:row r="2" ht="15" hidden="0" customHeight="1">
      <x:c r="A2" s="17" t="str">
        <x:v>S-001</x:v>
      </x:c>
      <x:c r="B2" s="17" t="str">
        <x:v>MI-CLIENT-001</x:v>
      </x:c>
      <x:c r="C2" s="17" t="str">
        <x:v>2026-06-21</x:v>
      </x:c>
      <x:c r="D2" s="17" t="str">
        <x:v>소재</x:v>
      </x:c>
      <x:c r="E2" s="17" t="str">
        <x:v>메타 소재 교체</x:v>
      </x:c>
      <x:c r="F2" s="17" t="str">
        <x:v>기존 소재 피로도 반영</x:v>
      </x:c>
      <x:c r="G2" s="17" t="str">
        <x:v>진행 중</x:v>
      </x:c>
      <x:c r="H2" s="17" t="str">
        <x:v>Y</x:v>
      </x:c>
      <x:c r="I2" s="17" t="str">
        <x:v>디자인</x:v>
      </x:c>
      <x:c r="J2" s="17" t="str">
        <x:v>광고주 문구 확인 필요</x:v>
      </x:c>
    </x:row>
    <x:row r="3" ht="15" hidden="0" customHeight="1">
      <x:c r="A3" s="17" t="str">
        <x:v>S-002</x:v>
      </x:c>
      <x:c r="B3" s="17" t="str">
        <x:v>MI-CLIENT-001</x:v>
      </x:c>
      <x:c r="C3" s="17" t="str">
        <x:v>2026-06-24</x:v>
      </x:c>
      <x:c r="D3" s="17" t="str">
        <x:v>보고서</x:v>
      </x:c>
      <x:c r="E3" s="17" t="str">
        <x:v>월간 보고서 전달</x:v>
      </x:c>
      <x:c r="F3" s="17" t="str">
        <x:v>관리자가 다운로드 후 전달</x:v>
      </x:c>
      <x:c r="G3" s="17" t="str">
        <x:v>예정</x:v>
      </x:c>
      <x:c r="H3" s="17" t="str">
        <x:v>Y</x:v>
      </x:c>
      <x:c r="I3" s="17" t="str">
        <x:v>운영 관리자</x:v>
      </x:c>
      <x:c r="J3" s="17" t="str">
        <x:v>내부 메모 제거</x:v>
      </x:c>
    </x:row>
    <x:row r="4" ht="15" hidden="0" customHeight="1">
      <x:c r="A4" s="17" t="str">
        <x:v>S-003</x:v>
      </x:c>
      <x:c r="B4" s="17" t="str">
        <x:v>MI-CLIENT-001</x:v>
      </x:c>
      <x:c r="C4" s="17" t="str">
        <x:v>2026-06-27</x:v>
      </x:c>
      <x:c r="D4" s="17" t="str">
        <x:v>키워드</x:v>
      </x:c>
      <x:c r="E4" s="17" t="str">
        <x:v>쿠팡 키워드 보강</x:v>
      </x:c>
      <x:c r="F4" s="17" t="str">
        <x:v>상품명과 검색어 반영</x:v>
      </x:c>
      <x:c r="G4" s="17" t="str">
        <x:v>예정</x:v>
      </x:c>
      <x:c r="H4" s="17" t="str">
        <x:v>Y</x:v>
      </x:c>
      <x:c r="I4" s="17" t="str">
        <x:v>분석</x:v>
      </x:c>
      <x:c r="J4" s="17" t="str">
        <x:v>키워드 20개 확장</x:v>
      </x:c>
    </x:row>
    <x:row r="5" ht="15" hidden="0" customHeight="1">
      <x:c r="A5" s="17" t="str">
        <x:v>S-004</x:v>
      </x:c>
      <x:c r="B5" s="17" t="str">
        <x:v>MI-CLIENT-002</x:v>
      </x:c>
      <x:c r="C5" s="17" t="str">
        <x:v>2026-06-28</x:v>
      </x:c>
      <x:c r="D5" s="17" t="str">
        <x:v>세팅</x:v>
      </x:c>
      <x:c r="E5" s="17" t="str">
        <x:v>KPI 목표 확정</x:v>
      </x:c>
      <x:c r="F5" s="17" t="str">
        <x:v>초기 목표 입력</x:v>
      </x:c>
      <x:c r="G5" s="17" t="str">
        <x:v>확인 필요</x:v>
      </x:c>
      <x:c r="H5" s="17" t="str">
        <x:v>N</x:v>
      </x:c>
      <x:c r="I5" s="17" t="str">
        <x:v>차장</x:v>
      </x:c>
      <x:c r="J5" s="17" t="str">
        <x:v>공개 전</x:v>
      </x:c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</x:row>
    <x:row r="7" ht="15" hidden="0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7" t="str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15" hidden="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15" hidden="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15" hidden="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5" hidden="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440000057220459" hidden="0" customWidth="1"/>
    <x:col min="2" max="2" width="10.779999732971191" hidden="0" customWidth="1"/>
    <x:col min="3" max="3" width="8.109999656677246" hidden="0" customWidth="1"/>
    <x:col min="4" max="4" width="3.109999895095825" hidden="0" customWidth="1"/>
    <x:col min="5" max="5" width="10.779999732971191" hidden="0" customWidth="1"/>
    <x:col min="6" max="6" width="13.220000267028809" hidden="0" customWidth="1"/>
    <x:col min="7" max="7" width="14.5600004196167" hidden="0" customWidth="1"/>
    <x:col min="8" max="8" width="23.889999389648438" hidden="0" customWidth="1"/>
    <x:col min="9" max="9" width="6.889999866485596" hidden="0" customWidth="1"/>
    <x:col min="10" max="10" width="9.4399995803833" hidden="0" customWidth="1"/>
    <x:col min="11" max="11" width="21.329999923706055" hidden="0" customWidth="1"/>
  </x:cols>
  <x:sheetData>
    <x:row r="1" ht="15" hidden="0" customHeight="1">
      <x:c r="A1" s="23" t="str">
        <x:v>insight_id</x:v>
      </x:c>
      <x:c r="B1" s="23" t="str">
        <x:v>client_id</x:v>
      </x:c>
      <x:c r="C1" s="23" t="str">
        <x:v>작성일</x:v>
      </x:c>
      <x:c r="D1" s="23" t="str">
        <x:v>구분</x:v>
      </x:c>
      <x:c r="E1" s="23" t="str">
        <x:v>핵심변화</x:v>
      </x:c>
      <x:c r="F1" s="23" t="str">
        <x:v>낮은지표</x:v>
      </x:c>
      <x:c r="G1" s="23" t="str">
        <x:v>개선제안</x:v>
      </x:c>
      <x:c r="H1" s="23" t="str">
        <x:v>다음액션</x:v>
      </x:c>
      <x:c r="I1" s="23" t="str">
        <x:v>관리자컨펌</x:v>
      </x:c>
      <x:c r="J1" s="23" t="str">
        <x:v>광고주공유여부</x:v>
      </x:c>
      <x:c r="K1" s="23" t="str">
        <x:v>내부메모</x:v>
      </x:c>
    </x:row>
    <x:row r="2" ht="15" hidden="0" customHeight="1">
      <x:c r="A2" s="17" t="str">
        <x:v>I-001</x:v>
      </x:c>
      <x:c r="B2" s="17" t="str">
        <x:v>MI-CLIENT-001</x:v>
      </x:c>
      <x:c r="C2" s="17" t="str">
        <x:v>2026-06-19</x:v>
      </x:c>
      <x:c r="D2" s="17" t="str">
        <x:v>주간</x:v>
      </x:c>
      <x:c r="E2" s="17" t="str">
        <x:v>네이버 CTR 상승</x:v>
      </x:c>
      <x:c r="F2" s="17" t="str">
        <x:v>쿠팡 키워드 확장 부족</x:v>
      </x:c>
      <x:c r="G2" s="17" t="str">
        <x:v>상품명/검색어 필드 보강</x:v>
      </x:c>
      <x:c r="H2" s="17" t="str">
        <x:v>메타 소재 교체 + 쿠팡 키워드 20개 추가</x:v>
      </x:c>
      <x:c r="I2" s="17" t="str">
        <x:v>승인</x:v>
      </x:c>
      <x:c r="J2" s="17" t="str">
        <x:v>Y</x:v>
      </x:c>
      <x:c r="K2" s="17" t="str">
        <x:v>내부 판단: 예산 증액은 다음 주 검토</x:v>
      </x:c>
    </x:row>
    <x:row r="3" ht="15" hidden="0" customHeight="1">
      <x:c r="A3" s="17" t="str">
        <x:v>I-002</x:v>
      </x:c>
      <x:c r="B3" s="17" t="str">
        <x:v>MI-CLIENT-003</x:v>
      </x:c>
      <x:c r="C3" s="17" t="str">
        <x:v>2026-06-19</x:v>
      </x:c>
      <x:c r="D3" s="17" t="str">
        <x:v>주간</x:v>
      </x:c>
      <x:c r="E3" s="17" t="str">
        <x:v>일정 진행 안정</x:v>
      </x:c>
      <x:c r="F3" s="17" t="str">
        <x:v>리뷰 증가 속도 둔화</x:v>
      </x:c>
      <x:c r="G3" s="17" t="str">
        <x:v>리뷰 요청 프로세스 보강</x:v>
      </x:c>
      <x:c r="H3" s="17" t="str">
        <x:v>리뷰 확보 캠페인 진행</x:v>
      </x:c>
      <x:c r="I3" s="17" t="str">
        <x:v>승인</x:v>
      </x:c>
      <x:c r="J3" s="17" t="str">
        <x:v>Y</x:v>
      </x:c>
      <x:c r="K3" s="17" t="str">
        <x:v>내부 판단: 담당자 확인</x:v>
      </x:c>
    </x:row>
    <x:row r="4" ht="15" hidden="0" customHeight="1">
      <x:c r="A4" s="17" t="str"/>
      <x:c r="B4" s="17" t="str"/>
      <x:c r="C4" s="17" t="str"/>
      <x:c r="D4" s="17" t="str"/>
      <x:c r="E4" s="17" t="str"/>
      <x:c r="F4" s="17" t="str"/>
      <x:c r="G4" s="17" t="str"/>
      <x:c r="H4" s="17" t="str"/>
      <x:c r="I4" s="17" t="str"/>
      <x:c r="J4" s="17" t="str"/>
      <x:c r="K4" s="17" t="str"/>
    </x:row>
    <x:row r="5" ht="15" hidden="0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</x:row>
    <x:row r="6" ht="15" hidden="0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</x:row>
    <x:row r="7" ht="15" hidden="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</x:row>
    <x:row r="9" ht="15" hidden="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</x:row>
    <x:row r="13" ht="15" hidden="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</x:row>
    <x:row r="21" ht="15" hidden="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15" hidden="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</x:row>
    <x:row r="23" ht="15" hidden="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</x:row>
    <x:row r="24" ht="15" hidden="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</x:row>
    <x:row r="28" ht="15" hidden="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</x:row>
    <x:row r="29" ht="15" hidden="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</x:row>
    <x:row r="30" ht="15" hidden="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15" hidden="0" customWidth="1"/>
    <x:col min="3" max="3" width="10.329999923706055" hidden="0" customWidth="1"/>
    <x:col min="4" max="4" width="10.329999923706055" hidden="0" customWidth="1"/>
    <x:col min="5" max="5" width="6" hidden="0" customWidth="1"/>
    <x:col min="6" max="6" width="14.5600004196167" hidden="0" customWidth="1"/>
  </x:cols>
  <x:sheetData>
    <x:row r="1" ht="15" hidden="0" customHeight="1">
      <x:c r="A1" s="23" t="str">
        <x:v>규칙</x:v>
      </x:c>
      <x:c r="B1" s="23" t="str">
        <x:v>설명</x:v>
      </x:c>
      <x:c r="C1" s="23" t="str">
        <x:v>광고주 화면 노출</x:v>
      </x:c>
      <x:c r="D1" s="23" t="str">
        <x:v>관리자 화면 노출</x:v>
      </x:c>
      <x:c r="E1" s="23" t="str">
        <x:v>필수 여부</x:v>
      </x:c>
      <x:c r="F1" s="23" t="str">
        <x:v>비고</x:v>
      </x:c>
    </x:row>
    <x:row r="2" ht="15" hidden="0" customHeight="1">
      <x:c r="A2" s="16" t="str">
        <x:v>광고주ID</x:v>
      </x:c>
      <x:c r="B2" s="16" t="str">
        <x:v>모든 시트의 기본 연결 키</x:v>
      </x:c>
      <x:c r="C2" s="16" t="str">
        <x:v>본인 ID만</x:v>
      </x:c>
      <x:c r="D2" s="16" t="str">
        <x:v>전체</x:v>
      </x:c>
      <x:c r="E2" s="16" t="str">
        <x:v>필수</x:v>
      </x:c>
      <x:c r="F2" s="16" t="str">
        <x:v>이름 대신 ID로 연결</x:v>
      </x:c>
    </x:row>
    <x:row r="3" ht="15" hidden="0" customHeight="1">
      <x:c r="A3" s="16" t="str">
        <x:v>관리자컨펌</x:v>
      </x:c>
      <x:c r="B3" s="16" t="str">
        <x:v>승인/대기/반려</x:v>
      </x:c>
      <x:c r="C3" s="16" t="str">
        <x:v>승인만</x:v>
      </x:c>
      <x:c r="D3" s="16" t="str">
        <x:v>전체</x:v>
      </x:c>
      <x:c r="E3" s="16" t="str">
        <x:v>필수</x:v>
      </x:c>
      <x:c r="F3" s="16" t="str">
        <x:v>미승인 행은 숨김</x:v>
      </x:c>
    </x:row>
    <x:row r="4" ht="15" hidden="0" customHeight="1">
      <x:c r="A4" s="16" t="str">
        <x:v>광고주공유여부</x:v>
      </x:c>
      <x:c r="B4" s="16" t="str">
        <x:v>Y/N</x:v>
      </x:c>
      <x:c r="C4" s="16" t="str">
        <x:v>Y만</x:v>
      </x:c>
      <x:c r="D4" s="16" t="str">
        <x:v>전체</x:v>
      </x:c>
      <x:c r="E4" s="16" t="str">
        <x:v>필수</x:v>
      </x:c>
      <x:c r="F4" s="16" t="str">
        <x:v>내부 자료 분리</x:v>
      </x:c>
    </x:row>
    <x:row r="5" ht="15" hidden="0" customHeight="1">
      <x:c r="A5" s="16" t="str">
        <x:v>내부메모</x:v>
      </x:c>
      <x:c r="B5" s="16" t="str">
        <x:v>운영 판단 기록</x:v>
      </x:c>
      <x:c r="C5" s="16" t="str">
        <x:v>숨김</x:v>
      </x:c>
      <x:c r="D5" s="16" t="str">
        <x:v>표시</x:v>
      </x:c>
      <x:c r="E5" s="16" t="str">
        <x:v>필수</x:v>
      </x:c>
      <x:c r="F5" s="16" t="str">
        <x:v>광고주 화면 노출 금지</x:v>
      </x:c>
    </x:row>
    <x:row r="6" ht="15" hidden="0" customHeight="1">
      <x:c r="A6" s="16" t="str">
        <x:v>공개코멘트</x:v>
      </x:c>
      <x:c r="B6" s="16" t="str">
        <x:v>광고주용 해석</x:v>
      </x:c>
      <x:c r="C6" s="16" t="str">
        <x:v>표시</x:v>
      </x:c>
      <x:c r="D6" s="16" t="str">
        <x:v>표시</x:v>
      </x:c>
      <x:c r="E6" s="16" t="str">
        <x:v>권장</x:v>
      </x:c>
      <x:c r="F6" s="16" t="str">
        <x:v>짧고 실행 중심</x:v>
      </x:c>
    </x:row>
    <x:row r="7" ht="15" hidden="0" customHeight="1">
      <x:c r="A7" s="16" t="str">
        <x:v>보고서 파일</x:v>
      </x:c>
      <x:c r="B7" s="16" t="str">
        <x:v>PDF/엑셀/링크</x:v>
      </x:c>
      <x:c r="C7" s="16" t="str">
        <x:v>직접 노출 안 함</x:v>
      </x:c>
      <x:c r="D7" s="16" t="str">
        <x:v>관리자 전달</x:v>
      </x:c>
      <x:c r="E7" s="16" t="str">
        <x:v>권장</x:v>
      </x:c>
      <x:c r="F7" s="16" t="str">
        <x:v>초기 운영은 관리자 전달</x:v>
      </x:c>
    </x:row>
    <x:row r="8" ht="15" hidden="0" customHeight="1">
      <x:c r="A8" s="16" t="str">
        <x:v>시트 원본</x:v>
      </x:c>
      <x:c r="B8" s="16" t="str">
        <x:v>네이버/쿠팡/메타 원천값</x:v>
      </x:c>
      <x:c r="C8" s="16" t="str">
        <x:v>숨김</x:v>
      </x:c>
      <x:c r="D8" s="16" t="str">
        <x:v>표시</x:v>
      </x:c>
      <x:c r="E8" s="16" t="str">
        <x:v>필수</x:v>
      </x:c>
      <x:c r="F8" s="16" t="str">
        <x:v>계산값만 공개</x:v>
      </x:c>
    </x:row>
    <x:row r="9" ht="15" hidden="0" customHeight="1">
      <x:c r="A9" s="16" t="str">
        <x:v>변경이력</x:v>
      </x:c>
      <x:c r="B9" s="16" t="str">
        <x:v>수정자와 공개 시간</x:v>
      </x:c>
      <x:c r="C9" s="16" t="str">
        <x:v>숨김</x:v>
      </x:c>
      <x:c r="D9" s="16" t="str">
        <x:v>표시</x:v>
      </x:c>
      <x:c r="E9" s="16" t="str">
        <x:v>필수</x:v>
      </x:c>
      <x:c r="F9" s="16" t="str">
        <x:v>실제 개발 시 DB 로그</x:v>
      </x:c>
    </x:row>
    <x:row r="10" ht="15" hidden="0" customHeight="1">
      <x:c r="A10" s="16"/>
      <x:c r="B10" s="16"/>
      <x:c r="C10" s="16"/>
      <x:c r="D10" s="16"/>
      <x:c r="E10" s="16"/>
      <x:c r="F10" s="16"/>
    </x:row>
    <x:row r="11" ht="15" hidden="0" customHeight="1">
      <x:c r="A11" s="16"/>
      <x:c r="B11" s="16"/>
      <x:c r="C11" s="16"/>
      <x:c r="D11" s="16"/>
      <x:c r="E11" s="16"/>
      <x:c r="F11" s="16"/>
    </x:row>
    <x:row r="12" ht="15" hidden="0" customHeight="1">
      <x:c r="A12" s="16"/>
      <x:c r="B12" s="16"/>
      <x:c r="C12" s="16"/>
      <x:c r="D12" s="16"/>
      <x:c r="E12" s="16"/>
      <x:c r="F12" s="16"/>
    </x:row>
    <x:row r="13" ht="15" hidden="0" customHeight="1">
      <x:c r="A13" s="16"/>
      <x:c r="B13" s="16"/>
      <x:c r="C13" s="16"/>
      <x:c r="D13" s="16"/>
      <x:c r="E13" s="16"/>
      <x:c r="F13" s="16"/>
    </x:row>
    <x:row r="14" ht="15" hidden="0" customHeight="1">
      <x:c r="A14" s="16"/>
      <x:c r="B14" s="16"/>
      <x:c r="C14" s="16"/>
      <x:c r="D14" s="16"/>
      <x:c r="E14" s="16"/>
      <x:c r="F14" s="16"/>
    </x:row>
    <x:row r="15" ht="15" hidden="0" customHeight="1">
      <x:c r="A15" s="16"/>
      <x:c r="B15" s="16"/>
      <x:c r="C15" s="16"/>
      <x:c r="D15" s="16"/>
      <x:c r="E15" s="16"/>
      <x:c r="F15" s="16"/>
    </x:row>
    <x:row r="16" ht="15" hidden="0" customHeight="1">
      <x:c r="A16" s="16"/>
      <x:c r="B16" s="16"/>
      <x:c r="C16" s="16"/>
      <x:c r="D16" s="16"/>
      <x:c r="E16" s="16"/>
      <x:c r="F16" s="16"/>
    </x:row>
    <x:row r="17" ht="15" hidden="0" customHeight="1">
      <x:c r="A17" s="16"/>
      <x:c r="B17" s="16"/>
      <x:c r="C17" s="16"/>
      <x:c r="D17" s="16"/>
      <x:c r="E17" s="16"/>
      <x:c r="F17" s="16"/>
    </x:row>
    <x:row r="18" ht="15" hidden="0" customHeight="1">
      <x:c r="A18" s="16"/>
      <x:c r="B18" s="16"/>
      <x:c r="C18" s="16"/>
      <x:c r="D18" s="16"/>
      <x:c r="E18" s="16"/>
      <x:c r="F18" s="16"/>
    </x:row>
    <x:row r="19" ht="15" hidden="0" customHeight="1">
      <x:c r="A19" s="16"/>
      <x:c r="B19" s="16"/>
      <x:c r="C19" s="16"/>
      <x:c r="D19" s="16"/>
      <x:c r="E19" s="16"/>
      <x:c r="F19" s="16"/>
    </x:row>
    <x:row r="20" ht="15" hidden="0" customHeight="1">
      <x:c r="A20" s="16"/>
      <x:c r="B20" s="16"/>
      <x:c r="C20" s="16"/>
      <x:c r="D20" s="16"/>
      <x:c r="E20" s="16"/>
      <x:c r="F20" s="16"/>
    </x:row>
  </x:sheetData>
  <x:pageMargins left="0.7" right="0.7" top="0.75" bottom="0.75" header="0.3" footer="0.3"/>
</x:worksheet>
</file>