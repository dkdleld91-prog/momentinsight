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a6c7fadef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처음_사용법" sheetId="1" r:id="R2c7a1b9ac3b74518"/>
    <x:sheet xmlns:r="http://schemas.openxmlformats.org/officeDocument/2006/relationships" name="월간_매출입력" sheetId="2" r:id="R2174afa19abb45f6"/>
    <x:sheet xmlns:r="http://schemas.openxmlformats.org/officeDocument/2006/relationships" name="네이버_일별입력" sheetId="3" r:id="Rc8cc2cd42ba548d8"/>
    <x:sheet xmlns:r="http://schemas.openxmlformats.org/officeDocument/2006/relationships" name="쿠팡_일별입력" sheetId="4" r:id="R6db909d06af541f5"/>
    <x:sheet xmlns:r="http://schemas.openxmlformats.org/officeDocument/2006/relationships" name="보고서_목록" sheetId="5" r:id="R2dd68abb71df4c62"/>
    <x:sheet xmlns:r="http://schemas.openxmlformats.org/officeDocument/2006/relationships" name="일정표" sheetId="6" r:id="R90ec35bdcd9a45e1"/>
    <x:sheet xmlns:r="http://schemas.openxmlformats.org/officeDocument/2006/relationships" name="인사이트_액션플랜" sheetId="7" r:id="Re1a87c0e9aa14c9b"/>
    <x:sheet xmlns:r="http://schemas.openxmlformats.org/officeDocument/2006/relationships" name="운영_대시보드" sheetId="8" r:id="Rf007a8d38a92424c"/>
    <x:sheet xmlns:r="http://schemas.openxmlformats.org/officeDocument/2006/relationships" name="공개규칙" sheetId="9" r:id="R950cf343d1fe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"/>
    <x:numFmt numFmtId="202" formatCode="0.0x"/>
    <x:numFmt numFmtId="203" formatCode="0.0%"/>
    <x:numFmt numFmtId="204" formatCode="yyyy-mm-dd"/>
  </x:numFmts>
  <x:fonts count="5">
    <x:font>
      <x:sz val="11"/>
      <x:name val="Carlito"/>
    </x:font>
    <x:font>
      <x:b/>
      <x:sz val="16"/>
      <x:color rgb="FFFFFFFF"/>
      <x:name val="Arial"/>
    </x:font>
    <x:font>
      <x:b/>
      <x:sz val="11"/>
      <x:color rgb="FF061A3A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61A3A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FFF8D7"/>
      </x:patternFill>
    </x:fill>
    <x:fill>
      <x:patternFill patternType="solid">
        <x:fgColor rgb="FFF5F7FB"/>
      </x:patternFill>
    </x:fill>
  </x:fills>
  <x:borders count="5">
    <x:border/>
    <x:border>
      <x:left style="thin">
        <x:color rgb="FFD9E1EC"/>
      </x:left>
      <x:top style="thin">
        <x:color rgb="FFD9E1EC"/>
      </x:top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3" fillId="6" borderId="4" xfId="0" applyNumberFormat="1" applyFont="1" applyFill="1" applyBorder="1" applyAlignment="1">
      <x:alignment horizontal="left" vertical="center" wrapText="1"/>
    </x:xf>
    <x:xf numFmtId="200" fontId="3" fillId="5" borderId="4" xfId="0" applyNumberFormat="1" applyFont="1" applyFill="1" applyBorder="1" applyAlignment="1">
      <x:alignment horizontal="left" vertical="center" wrapText="1"/>
    </x:xf>
    <x:xf numFmtId="200" fontId="3" fillId="4" borderId="4" xfId="0" applyNumberFormat="1" applyFont="1" applyFill="1" applyBorder="1" applyAlignment="1">
      <x:alignment horizontal="left" vertical="center" wrapText="1"/>
    </x:xf>
    <x:xf numFmtId="201" fontId="3" fillId="5" borderId="4" xfId="0" applyNumberFormat="1" applyFont="1" applyFill="1" applyBorder="1" applyAlignment="1">
      <x:alignment horizontal="left" vertical="center" wrapText="1"/>
    </x:xf>
    <x:xf numFmtId="201" fontId="3" fillId="6" borderId="4" xfId="0" applyNumberFormat="1" applyFont="1" applyFill="1" applyBorder="1" applyAlignment="1">
      <x:alignment horizontal="left" vertical="center" wrapText="1"/>
    </x:xf>
    <x:xf numFmtId="201" fontId="3" fillId="4" borderId="4" xfId="0" applyNumberFormat="1" applyFont="1" applyFill="1" applyBorder="1" applyAlignment="1">
      <x:alignment horizontal="left" vertical="center" wrapText="1"/>
    </x:xf>
    <x:xf numFmtId="201" fontId="3" fillId="5" borderId="4" xfId="0" applyNumberFormat="1" applyFont="1" applyFill="1" applyBorder="1" applyAlignment="1">
      <x:alignment horizontal="right" vertical="center" wrapText="1"/>
    </x:xf>
    <x:xf numFmtId="201" fontId="3" fillId="6" borderId="4" xfId="0" applyNumberFormat="1" applyFont="1" applyFill="1" applyBorder="1" applyAlignment="1">
      <x:alignment horizontal="right" vertical="center" wrapText="1"/>
    </x:xf>
    <x:xf numFmtId="201" fontId="3" fillId="4" borderId="4" xfId="0" applyNumberFormat="1" applyFont="1" applyFill="1" applyBorder="1" applyAlignment="1">
      <x:alignment horizontal="right" vertical="center" wrapText="1"/>
    </x:xf>
    <x:xf numFmtId="202" fontId="3" fillId="6" borderId="4" xfId="0" applyNumberFormat="1" applyFont="1" applyFill="1" applyBorder="1" applyAlignment="1">
      <x:alignment horizontal="left" vertical="center" wrapText="1"/>
    </x:xf>
    <x:xf numFmtId="202" fontId="3" fillId="6" borderId="4" xfId="0" applyNumberFormat="1" applyFont="1" applyFill="1" applyBorder="1" applyAlignment="1">
      <x:alignment horizontal="right" vertical="center" wrapText="1"/>
    </x:xf>
    <x:xf numFmtId="203" fontId="3" fillId="6" borderId="4" xfId="0" applyNumberFormat="1" applyFont="1" applyFill="1" applyBorder="1" applyAlignment="1">
      <x:alignment horizontal="left" vertical="center" wrapText="1"/>
    </x:xf>
    <x:xf numFmtId="203" fontId="3" fillId="6" borderId="4" xfId="0" applyNumberFormat="1" applyFont="1" applyFill="1" applyBorder="1" applyAlignment="1">
      <x:alignment horizontal="right" vertical="center" wrapText="1"/>
    </x:xf>
    <x:xf numFmtId="204" fontId="3" fillId="5" borderId="4" xfId="0" applyNumberFormat="1" applyFont="1" applyFill="1" applyBorder="1" applyAlignment="1">
      <x:alignment horizontal="left" vertical="center" wrapText="1"/>
    </x:xf>
    <x:xf numFmtId="0" fontId="3" fillId="3" borderId="4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2b288f469422c" /><Relationship Type="http://schemas.openxmlformats.org/officeDocument/2006/relationships/theme" Target="/xl/theme/theme1.xml" Id="R085bf6df03aa4cfa" /><Relationship Type="http://schemas.openxmlformats.org/officeDocument/2006/relationships/sharedStrings" Target="/xl/sharedStrings.xml" Id="Rc68724555a0f423e" /><Relationship Type="http://schemas.openxmlformats.org/officeDocument/2006/relationships/worksheet" Target="/xl/worksheets/sheet1.xml" Id="R2c7a1b9ac3b74518" /><Relationship Type="http://schemas.openxmlformats.org/officeDocument/2006/relationships/worksheet" Target="/xl/worksheets/sheet2.xml" Id="R2174afa19abb45f6" /><Relationship Type="http://schemas.openxmlformats.org/officeDocument/2006/relationships/worksheet" Target="/xl/worksheets/sheet3.xml" Id="Rc8cc2cd42ba548d8" /><Relationship Type="http://schemas.openxmlformats.org/officeDocument/2006/relationships/worksheet" Target="/xl/worksheets/sheet4.xml" Id="R6db909d06af541f5" /><Relationship Type="http://schemas.openxmlformats.org/officeDocument/2006/relationships/worksheet" Target="/xl/worksheets/sheet5.xml" Id="R2dd68abb71df4c62" /><Relationship Type="http://schemas.openxmlformats.org/officeDocument/2006/relationships/worksheet" Target="/xl/worksheets/sheet6.xml" Id="R90ec35bdcd9a45e1" /><Relationship Type="http://schemas.openxmlformats.org/officeDocument/2006/relationships/worksheet" Target="/xl/worksheets/sheet7.xml" Id="Re1a87c0e9aa14c9b" /><Relationship Type="http://schemas.openxmlformats.org/officeDocument/2006/relationships/worksheet" Target="/xl/worksheets/sheet8.xml" Id="Rf007a8d38a92424c" /><Relationship Type="http://schemas.openxmlformats.org/officeDocument/2006/relationships/worksheet" Target="/xl/worksheets/sheet9.xml" Id="R950cf343d1fe44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6.670000076293945" hidden="0" customWidth="1"/>
    <x:col min="3" max="3" width="62.220001220703125" hidden="0" customWidth="1"/>
    <x:col min="4" max="4" width="15.5600004196167" hidden="0" customWidth="1"/>
    <x:col min="5" max="5" width="7.78000020980835" hidden="0" customWidth="1"/>
    <x:col min="6" max="6" width="7.78000020980835" hidden="0" customWidth="1"/>
    <x:col min="7" max="7" width="7.78000020980835" hidden="0" customWidth="1"/>
    <x:col min="8" max="8" width="7.78000020980835" hidden="0" customWidth="1"/>
  </x:cols>
  <x:sheetData>
    <x:row r="1" ht="25.5" customHeight="1">
      <x:c r="A1" s="4" t="str">
        <x:v>모먼트인사이트 운영팀 기본 양식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3" t="str">
        <x:v>작성 순서</x:v>
      </x:c>
      <x:c r="B3" s="14" t="str"/>
      <x:c r="C3" s="14" t="str"/>
      <x:c r="D3" s="14" t="str"/>
      <x:c r="E3" s="14" t="str"/>
      <x:c r="F3" s="14" t="str"/>
      <x:c r="G3" s="14" t="str"/>
      <x:c r="H3" s="15" t="str"/>
    </x:row>
    <x:row r="4" ht="22.5" customHeight="1">
      <x:c r="A4" s="21" t="str">
        <x:v>1</x:v>
      </x:c>
      <x:c r="B4" s="21" t="str">
        <x:v>네이버_일별입력</x:v>
      </x:c>
      <x:c r="C4" s="21" t="str">
        <x:v>네이버 일별 매출, 광고비, 구매수, 노출/클릭/전환수를 입력합니다.</x:v>
      </x:c>
      <x:c r="D4" s="21" t="str">
        <x:v>노란색 칸만 작성</x:v>
      </x:c>
      <x:c r="E4" s="21" t="str"/>
      <x:c r="F4" s="21" t="str"/>
      <x:c r="G4" s="21" t="str"/>
      <x:c r="H4" s="21" t="str"/>
    </x:row>
    <x:row r="5" ht="22.5" customHeight="1">
      <x:c r="A5" s="21" t="str">
        <x:v>2</x:v>
      </x:c>
      <x:c r="B5" s="21" t="str">
        <x:v>쿠팡_일별입력</x:v>
      </x:c>
      <x:c r="C5" s="21" t="str">
        <x:v>쿠팡 일별 매출, 광고비, 구매수, 노출/클릭/전환수를 입력합니다.</x:v>
      </x:c>
      <x:c r="D5" s="21" t="str">
        <x:v>노란색 칸만 작성</x:v>
      </x:c>
      <x:c r="E5" s="21" t="str"/>
      <x:c r="F5" s="21" t="str"/>
      <x:c r="G5" s="21" t="str"/>
      <x:c r="H5" s="21" t="str"/>
    </x:row>
    <x:row r="6" ht="22.5" customHeight="1">
      <x:c r="A6" s="21" t="str">
        <x:v>3</x:v>
      </x:c>
      <x:c r="B6" s="21" t="str">
        <x:v>월간_매출입력</x:v>
      </x:c>
      <x:c r="C6" s="21" t="str">
        <x:v>네이버와 쿠팡 일별 입력값을 기준으로 월간 합계와 ROAS가 자동 계산됩니다.</x:v>
      </x:c>
      <x:c r="D6" s="21" t="str">
        <x:v>자동 계산 확인</x:v>
      </x:c>
      <x:c r="E6" s="21" t="str"/>
      <x:c r="F6" s="21" t="str"/>
      <x:c r="G6" s="21" t="str"/>
      <x:c r="H6" s="21" t="str"/>
    </x:row>
    <x:row r="7" ht="22.5" customHeight="1">
      <x:c r="A7" s="21" t="str">
        <x:v>4</x:v>
      </x:c>
      <x:c r="B7" s="21" t="str">
        <x:v>보고서_목록 / 일정표</x:v>
      </x:c>
      <x:c r="C7" s="21" t="str">
        <x:v>운영팀이 공개할 보고서, 일정, 요청사항을 정리합니다.</x:v>
      </x:c>
      <x:c r="D7" s="21" t="str">
        <x:v>필수 확인</x:v>
      </x:c>
      <x:c r="E7" s="21" t="str"/>
      <x:c r="F7" s="21" t="str"/>
      <x:c r="G7" s="21" t="str"/>
      <x:c r="H7" s="21" t="str"/>
    </x:row>
    <x:row r="8" ht="22.5" customHeight="1">
      <x:c r="A8" s="21" t="str">
        <x:v>5</x:v>
      </x:c>
      <x:c r="B8" s="21" t="str">
        <x:v>인사이트_액션플랜</x:v>
      </x:c>
      <x:c r="C8" s="21" t="str">
        <x:v>광고주에게 보여줄 결론과 다음 행동을 작성합니다.</x:v>
      </x:c>
      <x:c r="D8" s="21" t="str">
        <x:v>짧게 작성</x:v>
      </x:c>
      <x:c r="E8" s="21" t="str"/>
      <x:c r="F8" s="21" t="str"/>
      <x:c r="G8" s="21" t="str"/>
      <x:c r="H8" s="21" t="str"/>
    </x:row>
    <x:row r="9" ht="22.5" customHeight="1"/>
    <x:row r="10" ht="22.5" customHeight="1">
      <x:c r="A10" s="13" t="str">
        <x:v>운영 기준</x:v>
      </x:c>
      <x:c r="B10" s="14" t="str"/>
      <x:c r="C10" s="14" t="str"/>
      <x:c r="D10" s="14" t="str"/>
      <x:c r="E10" s="14" t="str"/>
      <x:c r="F10" s="14" t="str"/>
      <x:c r="G10" s="14" t="str"/>
      <x:c r="H10" s="15" t="str"/>
    </x:row>
    <x:row r="11" ht="22.5" customHeight="1">
      <x:c r="A11" s="21" t="str">
        <x:v>광고주 연결</x:v>
      </x:c>
      <x:c r="B11" s="21" t="str"/>
      <x:c r="C11" s="21" t="str">
        <x:v>웹에서 운영팀 코드와 광고주 코드가 이미 1:1로 연결되므로 엑셀에는 별도 코드 입력이 없습니다.</x:v>
      </x:c>
      <x:c r="D11" s="21" t="str"/>
      <x:c r="E11" s="21" t="str"/>
      <x:c r="F11" s="21" t="str"/>
      <x:c r="G11" s="21" t="str"/>
      <x:c r="H11" s="21" t="str"/>
    </x:row>
    <x:row r="12" ht="22.5" customHeight="1">
      <x:c r="A12" s="21" t="str">
        <x:v>입력 규칙</x:v>
      </x:c>
      <x:c r="B12" s="21" t="str"/>
      <x:c r="C12" s="21" t="str">
        <x:v>노란색 칸은 운영팀 입력값이고, 회색 칸은 자동 계산값입니다.</x:v>
      </x:c>
      <x:c r="D12" s="21" t="str"/>
      <x:c r="E12" s="21" t="str"/>
      <x:c r="F12" s="21" t="str"/>
      <x:c r="G12" s="21" t="str"/>
      <x:c r="H12" s="21" t="str"/>
    </x:row>
    <x:row r="13" ht="22.5" customHeight="1">
      <x:c r="A13" s="21" t="str">
        <x:v>공개 기준</x:v>
      </x:c>
      <x:c r="B13" s="21" t="str"/>
      <x:c r="C13" s="21" t="str">
        <x:v>광고주에게 보일 문장은 공개코멘트, 일정, 인사이트 영역에만 작성합니다.</x:v>
      </x:c>
      <x:c r="D13" s="21" t="str"/>
      <x:c r="E13" s="21" t="str"/>
      <x:c r="F13" s="21" t="str"/>
      <x:c r="G13" s="21" t="str"/>
      <x:c r="H13" s="21" t="str"/>
    </x:row>
    <x:row r="14" ht="22.5" customHeight="1">
      <x:c r="A14" s="21" t="str">
        <x:v>원본 보관</x:v>
      </x:c>
      <x:c r="B14" s="21" t="str"/>
      <x:c r="C14" s="21" t="str">
        <x:v>작성 완료 후 관리자 화면의 원천 엑셀 업로드 영역에 이 파일을 업로드합니다.</x:v>
      </x:c>
      <x:c r="D14" s="21" t="str"/>
      <x:c r="E14" s="21" t="str"/>
      <x:c r="F14" s="21" t="str"/>
      <x:c r="G14" s="21" t="str"/>
      <x:c r="H14" s="21" t="str"/>
    </x:row>
    <x:row r="15" ht="22.5" customHeight="1">
      <x:c r="A15" s="21" t="str">
        <x:v>주의</x:v>
      </x:c>
      <x:c r="B15" s="21" t="str"/>
      <x:c r="C15" s="21" t="str">
        <x:v>내부 판단이나 민감한 메모는 광고주공개코멘트에 작성하지 않습니다.</x:v>
      </x:c>
      <x:c r="D15" s="21" t="str"/>
      <x:c r="E15" s="21" t="str"/>
      <x:c r="F15" s="21" t="str"/>
      <x:c r="G15" s="21" t="str"/>
      <x:c r="H15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0.670000076293945" hidden="0" customWidth="1"/>
    <x:col min="3" max="3" width="12.4399995803833" hidden="0" customWidth="1"/>
    <x:col min="4" max="4" width="12.4399995803833" hidden="0" customWidth="1"/>
    <x:col min="5" max="5" width="12" hidden="0" customWidth="1"/>
    <x:col min="6" max="6" width="10" hidden="0" customWidth="1"/>
    <x:col min="7" max="7" width="11.779999732971191" hidden="0" customWidth="1"/>
    <x:col min="8" max="8" width="10.670000076293945" hidden="0" customWidth="1"/>
    <x:col min="9" max="9" width="10.670000076293945" hidden="0" customWidth="1"/>
    <x:col min="10" max="10" width="8.670000076293945" hidden="0" customWidth="1"/>
    <x:col min="11" max="11" width="8.670000076293945" hidden="0" customWidth="1"/>
    <x:col min="12" max="12" width="8.670000076293945" hidden="0" customWidth="1"/>
    <x:col min="13" max="13" width="11.5600004196167" hidden="0" customWidth="1"/>
    <x:col min="14" max="14" width="43.33000183105469" hidden="0" customWidth="1"/>
    <x:col min="15" max="15" width="12.4399995803833" hidden="0" customWidth="1"/>
  </x:cols>
  <x:sheetData>
    <x:row r="1" ht="25.5" customHeight="1">
      <x:c r="A1" s="4" t="str">
        <x:v>월간 매출/광고 성과 입력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13" t="str">
        <x:v>네이버_일별입력과 쿠팡_일별입력에 날짜별 수치만 입력하면 월간 매출, 광고비, 구매수, ROAS가 자동 계산됩니다. 운영팀 1개당 광고주 1개 기준이라 별도 광고주 코드 입력은 없습니다.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5" t="str"/>
    </x:row>
    <x:row r="5" ht="19.5" customHeight="1">
      <x:c r="A5" s="26" t="str">
        <x:v>채널</x:v>
      </x:c>
      <x:c r="B5" s="26" t="str">
        <x:v>기준월</x:v>
      </x:c>
      <x:c r="C5" s="26" t="str">
        <x:v>목표매출</x:v>
      </x:c>
      <x:c r="D5" s="26" t="str">
        <x:v>실제매출</x:v>
      </x:c>
      <x:c r="E5" s="26" t="str">
        <x:v>광고비</x:v>
      </x:c>
      <x:c r="F5" s="26" t="str">
        <x:v>구매수</x:v>
      </x:c>
      <x:c r="G5" s="26" t="str">
        <x:v>노출수</x:v>
      </x:c>
      <x:c r="H5" s="26" t="str">
        <x:v>클릭수</x:v>
      </x:c>
      <x:c r="I5" s="26" t="str">
        <x:v>전환수</x:v>
      </x:c>
      <x:c r="J5" s="26" t="str">
        <x:v>ROAS</x:v>
      </x:c>
      <x:c r="K5" s="26" t="str">
        <x:v>CTR</x:v>
      </x:c>
      <x:c r="L5" s="26" t="str">
        <x:v>CVR</x:v>
      </x:c>
      <x:c r="M5" s="26" t="str">
        <x:v>목표달성률</x:v>
      </x:c>
      <x:c r="N5" s="26" t="str">
        <x:v>광고주공개코멘트</x:v>
      </x:c>
      <x:c r="O5" s="26" t="str">
        <x:v>업데이트일</x:v>
      </x:c>
    </x:row>
    <x:row r="6" ht="19.5" customHeight="1">
      <x:c r="A6" s="27" t="str">
        <x:v>네이버</x:v>
      </x:c>
      <x:c r="B6" s="29" t="n">
        <x:v>46174</x:v>
      </x:c>
      <x:c r="C6" s="34" t="n">
        <x:v>36000000</x:v>
      </x:c>
      <x:c r="D6" s="35" t="n">
        <x:f>IF($A6="네이버",SUMIFS('네이버_일별입력'!D$6:D$205,'네이버_일별입력'!$A$6:$A$205,"&gt;="&amp;$B6,'네이버_일별입력'!$A$6:$A$205,"&lt;"&amp;EDATE($B6,1)),IF($A6="쿠팡",SUMIFS('쿠팡_일별입력'!D$6:D$205,'쿠팡_일별입력'!$A$6:$A$205,"&gt;="&amp;$B6,'쿠팡_일별입력'!$A$6:$A$205,"&lt;"&amp;EDATE($B6,1)),SUMIFS('네이버_일별입력'!D$6:D$205,'네이버_일별입력'!$A$6:$A$205,"&gt;="&amp;$B6,'네이버_일별입력'!$A$6:$A$205,"&lt;"&amp;EDATE($B6,1))+SUMIFS('쿠팡_일별입력'!D$6:D$205,'쿠팡_일별입력'!$A$6:$A$205,"&gt;="&amp;$B6,'쿠팡_일별입력'!$A$6:$A$205,"&lt;"&amp;EDATE($B6,1))))</x:f>
        <x:v>18600000</x:v>
      </x:c>
      <x:c r="E6" s="35" t="n">
        <x:f>IF($A6="네이버",SUMIFS('네이버_일별입력'!C$6:C$205,'네이버_일별입력'!$A$6:$A$205,"&gt;="&amp;$B6,'네이버_일별입력'!$A$6:$A$205,"&lt;"&amp;EDATE($B6,1)),IF($A6="쿠팡",SUMIFS('쿠팡_일별입력'!C$6:C$205,'쿠팡_일별입력'!$A$6:$A$205,"&gt;="&amp;$B6,'쿠팡_일별입력'!$A$6:$A$205,"&lt;"&amp;EDATE($B6,1)),SUMIFS('네이버_일별입력'!C$6:C$205,'네이버_일별입력'!$A$6:$A$205,"&gt;="&amp;$B6,'네이버_일별입력'!$A$6:$A$205,"&lt;"&amp;EDATE($B6,1))+SUMIFS('쿠팡_일별입력'!C$6:C$205,'쿠팡_일별입력'!$A$6:$A$205,"&gt;="&amp;$B6,'쿠팡_일별입력'!$A$6:$A$205,"&lt;"&amp;EDATE($B6,1))))</x:f>
        <x:v>3200000</x:v>
      </x:c>
      <x:c r="F6" s="35" t="n">
        <x:f>IF($A6="네이버",SUMIFS('네이버_일별입력'!H$6:H$205,'네이버_일별입력'!$A$6:$A$205,"&gt;="&amp;$B6,'네이버_일별입력'!$A$6:$A$205,"&lt;"&amp;EDATE($B6,1)),IF($A6="쿠팡",SUMIFS('쿠팡_일별입력'!H$6:H$205,'쿠팡_일별입력'!$A$6:$A$205,"&gt;="&amp;$B6,'쿠팡_일별입력'!$A$6:$A$205,"&lt;"&amp;EDATE($B6,1)),SUMIFS('네이버_일별입력'!H$6:H$205,'네이버_일별입력'!$A$6:$A$205,"&gt;="&amp;$B6,'네이버_일별입력'!$A$6:$A$205,"&lt;"&amp;EDATE($B6,1))+SUMIFS('쿠팡_일별입력'!H$6:H$205,'쿠팡_일별입력'!$A$6:$A$205,"&gt;="&amp;$B6,'쿠팡_일별입력'!$A$6:$A$205,"&lt;"&amp;EDATE($B6,1))))</x:f>
        <x:v>642</x:v>
      </x:c>
      <x:c r="G6" s="35" t="n">
        <x:f>IF($A6="네이버",SUMIFS('네이버_일별입력'!E$6:E$205,'네이버_일별입력'!$A$6:$A$205,"&gt;="&amp;$B6,'네이버_일별입력'!$A$6:$A$205,"&lt;"&amp;EDATE($B6,1)),IF($A6="쿠팡",SUMIFS('쿠팡_일별입력'!E$6:E$205,'쿠팡_일별입력'!$A$6:$A$205,"&gt;="&amp;$B6,'쿠팡_일별입력'!$A$6:$A$205,"&lt;"&amp;EDATE($B6,1)),SUMIFS('네이버_일별입력'!E$6:E$205,'네이버_일별입력'!$A$6:$A$205,"&gt;="&amp;$B6,'네이버_일별입력'!$A$6:$A$205,"&lt;"&amp;EDATE($B6,1))+SUMIFS('쿠팡_일별입력'!E$6:E$205,'쿠팡_일별입력'!$A$6:$A$205,"&gt;="&amp;$B6,'쿠팡_일별입력'!$A$6:$A$205,"&lt;"&amp;EDATE($B6,1))))</x:f>
        <x:v>510000</x:v>
      </x:c>
      <x:c r="H6" s="35" t="n">
        <x:f>IF($A6="네이버",SUMIFS('네이버_일별입력'!F$6:F$205,'네이버_일별입력'!$A$6:$A$205,"&gt;="&amp;$B6,'네이버_일별입력'!$A$6:$A$205,"&lt;"&amp;EDATE($B6,1)),IF($A6="쿠팡",SUMIFS('쿠팡_일별입력'!F$6:F$205,'쿠팡_일별입력'!$A$6:$A$205,"&gt;="&amp;$B6,'쿠팡_일별입력'!$A$6:$A$205,"&lt;"&amp;EDATE($B6,1)),SUMIFS('네이버_일별입력'!F$6:F$205,'네이버_일별입력'!$A$6:$A$205,"&gt;="&amp;$B6,'네이버_일별입력'!$A$6:$A$205,"&lt;"&amp;EDATE($B6,1))+SUMIFS('쿠팡_일별입력'!F$6:F$205,'쿠팡_일별입력'!$A$6:$A$205,"&gt;="&amp;$B6,'쿠팡_일별입력'!$A$6:$A$205,"&lt;"&amp;EDATE($B6,1))))</x:f>
        <x:v>19400</x:v>
      </x:c>
      <x:c r="I6" s="35" t="n">
        <x:f>IF($A6="네이버",SUMIFS('네이버_일별입력'!G$6:G$205,'네이버_일별입력'!$A$6:$A$205,"&gt;="&amp;$B6,'네이버_일별입력'!$A$6:$A$205,"&lt;"&amp;EDATE($B6,1)),IF($A6="쿠팡",SUMIFS('쿠팡_일별입력'!G$6:G$205,'쿠팡_일별입력'!$A$6:$A$205,"&gt;="&amp;$B6,'쿠팡_일별입력'!$A$6:$A$205,"&lt;"&amp;EDATE($B6,1)),SUMIFS('네이버_일별입력'!G$6:G$205,'네이버_일별입력'!$A$6:$A$205,"&gt;="&amp;$B6,'네이버_일별입력'!$A$6:$A$205,"&lt;"&amp;EDATE($B6,1))+SUMIFS('쿠팡_일별입력'!G$6:G$205,'쿠팡_일별입력'!$A$6:$A$205,"&gt;="&amp;$B6,'쿠팡_일별입력'!$A$6:$A$205,"&lt;"&amp;EDATE($B6,1))))</x:f>
        <x:v>951</x:v>
      </x:c>
      <x:c r="J6" s="38" t="n">
        <x:f>IFERROR(D6/E6,0)</x:f>
        <x:v>5.8125</x:v>
      </x:c>
      <x:c r="K6" s="40" t="n">
        <x:f>IFERROR(H6/G6,0)</x:f>
        <x:v>0.03803921568627451</x:v>
      </x:c>
      <x:c r="L6" s="40" t="n">
        <x:f>IFERROR(I6/H6,0)</x:f>
        <x:v>0.04902061855670103</x:v>
      </x:c>
      <x:c r="M6" s="40" t="n">
        <x:f>IFERROR(D6/C6,0)</x:f>
        <x:v>0.5166666666666667</x:v>
      </x:c>
      <x:c r="N6" s="27" t="str">
        <x:v>다음 주에는 네이버 검색광고 효율은 유지하고 쿠팡 상품명 키워드를 보강합니다.</x:v>
      </x:c>
      <x:c r="O6" s="27" t="str">
        <x:v>2026-06-27</x:v>
      </x:c>
    </x:row>
    <x:row r="7" ht="19.5" customHeight="1">
      <x:c r="A7" s="27" t="str">
        <x:v>쿠팡</x:v>
      </x:c>
      <x:c r="B7" s="29" t="n">
        <x:v>46174</x:v>
      </x:c>
      <x:c r="C7" s="34" t="n">
        <x:v>18000000</x:v>
      </x:c>
      <x:c r="D7" s="35" t="n">
        <x:f>IF($A7="네이버",SUMIFS('네이버_일별입력'!D$6:D$205,'네이버_일별입력'!$A$6:$A$205,"&gt;="&amp;$B7,'네이버_일별입력'!$A$6:$A$205,"&lt;"&amp;EDATE($B7,1)),IF($A7="쿠팡",SUMIFS('쿠팡_일별입력'!D$6:D$205,'쿠팡_일별입력'!$A$6:$A$205,"&gt;="&amp;$B7,'쿠팡_일별입력'!$A$6:$A$205,"&lt;"&amp;EDATE($B7,1)),SUMIFS('네이버_일별입력'!D$6:D$205,'네이버_일별입력'!$A$6:$A$205,"&gt;="&amp;$B7,'네이버_일별입력'!$A$6:$A$205,"&lt;"&amp;EDATE($B7,1))+SUMIFS('쿠팡_일별입력'!D$6:D$205,'쿠팡_일별입력'!$A$6:$A$205,"&gt;="&amp;$B7,'쿠팡_일별입력'!$A$6:$A$205,"&lt;"&amp;EDATE($B7,1))))</x:f>
        <x:v>18600000</x:v>
      </x:c>
      <x:c r="E7" s="35" t="n">
        <x:f>IF($A7="네이버",SUMIFS('네이버_일별입력'!C$6:C$205,'네이버_일별입력'!$A$6:$A$205,"&gt;="&amp;$B7,'네이버_일별입력'!$A$6:$A$205,"&lt;"&amp;EDATE($B7,1)),IF($A7="쿠팡",SUMIFS('쿠팡_일별입력'!C$6:C$205,'쿠팡_일별입력'!$A$6:$A$205,"&gt;="&amp;$B7,'쿠팡_일별입력'!$A$6:$A$205,"&lt;"&amp;EDATE($B7,1)),SUMIFS('네이버_일별입력'!C$6:C$205,'네이버_일별입력'!$A$6:$A$205,"&gt;="&amp;$B7,'네이버_일별입력'!$A$6:$A$205,"&lt;"&amp;EDATE($B7,1))+SUMIFS('쿠팡_일별입력'!C$6:C$205,'쿠팡_일별입력'!$A$6:$A$205,"&gt;="&amp;$B7,'쿠팡_일별입력'!$A$6:$A$205,"&lt;"&amp;EDATE($B7,1))))</x:f>
        <x:v>3200000</x:v>
      </x:c>
      <x:c r="F7" s="35" t="n">
        <x:f>IF($A7="네이버",SUMIFS('네이버_일별입력'!H$6:H$205,'네이버_일별입력'!$A$6:$A$205,"&gt;="&amp;$B7,'네이버_일별입력'!$A$6:$A$205,"&lt;"&amp;EDATE($B7,1)),IF($A7="쿠팡",SUMIFS('쿠팡_일별입력'!H$6:H$205,'쿠팡_일별입력'!$A$6:$A$205,"&gt;="&amp;$B7,'쿠팡_일별입력'!$A$6:$A$205,"&lt;"&amp;EDATE($B7,1)),SUMIFS('네이버_일별입력'!H$6:H$205,'네이버_일별입력'!$A$6:$A$205,"&gt;="&amp;$B7,'네이버_일별입력'!$A$6:$A$205,"&lt;"&amp;EDATE($B7,1))+SUMIFS('쿠팡_일별입력'!H$6:H$205,'쿠팡_일별입력'!$A$6:$A$205,"&gt;="&amp;$B7,'쿠팡_일별입력'!$A$6:$A$205,"&lt;"&amp;EDATE($B7,1))))</x:f>
        <x:v>642</x:v>
      </x:c>
      <x:c r="G7" s="35" t="n">
        <x:f>IF($A7="네이버",SUMIFS('네이버_일별입력'!E$6:E$205,'네이버_일별입력'!$A$6:$A$205,"&gt;="&amp;$B7,'네이버_일별입력'!$A$6:$A$205,"&lt;"&amp;EDATE($B7,1)),IF($A7="쿠팡",SUMIFS('쿠팡_일별입력'!E$6:E$205,'쿠팡_일별입력'!$A$6:$A$205,"&gt;="&amp;$B7,'쿠팡_일별입력'!$A$6:$A$205,"&lt;"&amp;EDATE($B7,1)),SUMIFS('네이버_일별입력'!E$6:E$205,'네이버_일별입력'!$A$6:$A$205,"&gt;="&amp;$B7,'네이버_일별입력'!$A$6:$A$205,"&lt;"&amp;EDATE($B7,1))+SUMIFS('쿠팡_일별입력'!E$6:E$205,'쿠팡_일별입력'!$A$6:$A$205,"&gt;="&amp;$B7,'쿠팡_일별입력'!$A$6:$A$205,"&lt;"&amp;EDATE($B7,1))))</x:f>
        <x:v>510000</x:v>
      </x:c>
      <x:c r="H7" s="35" t="n">
        <x:f>IF($A7="네이버",SUMIFS('네이버_일별입력'!F$6:F$205,'네이버_일별입력'!$A$6:$A$205,"&gt;="&amp;$B7,'네이버_일별입력'!$A$6:$A$205,"&lt;"&amp;EDATE($B7,1)),IF($A7="쿠팡",SUMIFS('쿠팡_일별입력'!F$6:F$205,'쿠팡_일별입력'!$A$6:$A$205,"&gt;="&amp;$B7,'쿠팡_일별입력'!$A$6:$A$205,"&lt;"&amp;EDATE($B7,1)),SUMIFS('네이버_일별입력'!F$6:F$205,'네이버_일별입력'!$A$6:$A$205,"&gt;="&amp;$B7,'네이버_일별입력'!$A$6:$A$205,"&lt;"&amp;EDATE($B7,1))+SUMIFS('쿠팡_일별입력'!F$6:F$205,'쿠팡_일별입력'!$A$6:$A$205,"&gt;="&amp;$B7,'쿠팡_일별입력'!$A$6:$A$205,"&lt;"&amp;EDATE($B7,1))))</x:f>
        <x:v>19400</x:v>
      </x:c>
      <x:c r="I7" s="35" t="n">
        <x:f>IF($A7="네이버",SUMIFS('네이버_일별입력'!G$6:G$205,'네이버_일별입력'!$A$6:$A$205,"&gt;="&amp;$B7,'네이버_일별입력'!$A$6:$A$205,"&lt;"&amp;EDATE($B7,1)),IF($A7="쿠팡",SUMIFS('쿠팡_일별입력'!G$6:G$205,'쿠팡_일별입력'!$A$6:$A$205,"&gt;="&amp;$B7,'쿠팡_일별입력'!$A$6:$A$205,"&lt;"&amp;EDATE($B7,1)),SUMIFS('네이버_일별입력'!G$6:G$205,'네이버_일별입력'!$A$6:$A$205,"&gt;="&amp;$B7,'네이버_일별입력'!$A$6:$A$205,"&lt;"&amp;EDATE($B7,1))+SUMIFS('쿠팡_일별입력'!G$6:G$205,'쿠팡_일별입력'!$A$6:$A$205,"&gt;="&amp;$B7,'쿠팡_일별입력'!$A$6:$A$205,"&lt;"&amp;EDATE($B7,1))))</x:f>
        <x:v>951</x:v>
      </x:c>
      <x:c r="J7" s="38" t="n">
        <x:f>IFERROR(D7/E7,0)</x:f>
        <x:v>5.8125</x:v>
      </x:c>
      <x:c r="K7" s="40" t="n">
        <x:f>IFERROR(H7/G7,0)</x:f>
        <x:v>0.03803921568627451</x:v>
      </x:c>
      <x:c r="L7" s="40" t="n">
        <x:f>IFERROR(I7/H7,0)</x:f>
        <x:v>0.04902061855670103</x:v>
      </x:c>
      <x:c r="M7" s="40" t="n">
        <x:f>IFERROR(D7/C7,0)</x:f>
        <x:v>1.0333333333333334</x:v>
      </x:c>
      <x:c r="N7" s="27" t="str">
        <x:v>쿠팡은 전환은 안정적이나 검색어 보강이 필요합니다.</x:v>
      </x:c>
      <x:c r="O7" s="27" t="str">
        <x:v>2026-06-27</x:v>
      </x:c>
    </x:row>
    <x:row r="8" ht="19.5" customHeight="1">
      <x:c r="A8" s="21" t="str">
        <x:v>합계</x:v>
      </x:c>
      <x:c r="B8" s="30" t="n">
        <x:v>46174</x:v>
      </x:c>
      <x:c r="C8" s="36" t="n">
        <x:f>SUM(C6:C7)</x:f>
        <x:v>54000000</x:v>
      </x:c>
      <x:c r="D8" s="35" t="n">
        <x:f>SUM(D6:D7)</x:f>
        <x:v>37200000</x:v>
      </x:c>
      <x:c r="E8" s="35" t="n">
        <x:f>SUM(E6:E7)</x:f>
        <x:v>6400000</x:v>
      </x:c>
      <x:c r="F8" s="35" t="n">
        <x:f>SUM(F6:F7)</x:f>
        <x:v>1284</x:v>
      </x:c>
      <x:c r="G8" s="35" t="n">
        <x:f>SUM(G6:G7)</x:f>
        <x:v>1020000</x:v>
      </x:c>
      <x:c r="H8" s="35" t="n">
        <x:f>SUM(H6:H7)</x:f>
        <x:v>38800</x:v>
      </x:c>
      <x:c r="I8" s="35" t="n">
        <x:f>SUM(I6:I7)</x:f>
        <x:v>1902</x:v>
      </x:c>
      <x:c r="J8" s="38" t="n">
        <x:f>IFERROR(D8/E8,0)</x:f>
        <x:v>5.8125</x:v>
      </x:c>
      <x:c r="K8" s="40" t="n">
        <x:f>IFERROR(H8/G8,0)</x:f>
        <x:v>0.03803921568627451</x:v>
      </x:c>
      <x:c r="L8" s="40" t="n">
        <x:f>IFERROR(I8/H8,0)</x:f>
        <x:v>0.04902061855670103</x:v>
      </x:c>
      <x:c r="M8" s="40" t="n">
        <x:f>IFERROR(D8/C8,0)</x:f>
        <x:v>0.6888888888888889</x:v>
      </x:c>
      <x:c r="N8" s="27" t="str">
        <x:v>합산 기준으로 보고서 공개 전 수치 검수 필요</x:v>
      </x:c>
      <x:c r="O8" s="27" t="str">
        <x:v>2026-06-27</x:v>
      </x:c>
    </x:row>
    <x:row r="9" ht="19.5" customHeight="1">
      <x:c r="A9" s="21"/>
      <x:c r="B9" s="30"/>
      <x:c r="C9" s="36"/>
      <x:c r="D9" s="35"/>
      <x:c r="E9" s="35"/>
      <x:c r="F9" s="35"/>
      <x:c r="G9" s="35"/>
      <x:c r="H9" s="35"/>
      <x:c r="I9" s="35"/>
      <x:c r="J9" s="38"/>
      <x:c r="K9" s="40"/>
      <x:c r="L9" s="40"/>
      <x:c r="M9" s="40"/>
      <x:c r="N9" s="27"/>
      <x:c r="O9" s="27"/>
    </x:row>
    <x:row r="10" ht="19.5" customHeight="1">
      <x:c r="A10" s="21"/>
      <x:c r="B10" s="30"/>
      <x:c r="C10" s="36"/>
      <x:c r="D10" s="35"/>
      <x:c r="E10" s="35"/>
      <x:c r="F10" s="35"/>
      <x:c r="G10" s="35"/>
      <x:c r="H10" s="35"/>
      <x:c r="I10" s="35"/>
      <x:c r="J10" s="38"/>
      <x:c r="K10" s="40"/>
      <x:c r="L10" s="40"/>
      <x:c r="M10" s="40"/>
      <x:c r="N10" s="27"/>
      <x:c r="O10" s="27"/>
    </x:row>
    <x:row r="11" ht="19.5" customHeight="1">
      <x:c r="A11" s="21"/>
      <x:c r="B11" s="30"/>
      <x:c r="C11" s="36"/>
      <x:c r="D11" s="35"/>
      <x:c r="E11" s="35"/>
      <x:c r="F11" s="35"/>
      <x:c r="G11" s="35"/>
      <x:c r="H11" s="35"/>
      <x:c r="I11" s="35"/>
      <x:c r="J11" s="38"/>
      <x:c r="K11" s="40"/>
      <x:c r="L11" s="40"/>
      <x:c r="M11" s="40"/>
      <x:c r="N11" s="27"/>
      <x:c r="O11" s="27"/>
    </x:row>
    <x:row r="12" ht="19.5" customHeight="1">
      <x:c r="A12" s="21"/>
      <x:c r="B12" s="30"/>
      <x:c r="C12" s="36"/>
      <x:c r="D12" s="35"/>
      <x:c r="E12" s="35"/>
      <x:c r="F12" s="35"/>
      <x:c r="G12" s="35"/>
      <x:c r="H12" s="35"/>
      <x:c r="I12" s="35"/>
      <x:c r="J12" s="38"/>
      <x:c r="K12" s="40"/>
      <x:c r="L12" s="40"/>
      <x:c r="M12" s="40"/>
      <x:c r="N12" s="27"/>
      <x:c r="O12" s="27"/>
    </x:row>
    <x:row r="13" ht="19.5" customHeight="1">
      <x:c r="A13" s="21"/>
      <x:c r="B13" s="30"/>
      <x:c r="C13" s="36"/>
      <x:c r="D13" s="35"/>
      <x:c r="E13" s="35"/>
      <x:c r="F13" s="35"/>
      <x:c r="G13" s="35"/>
      <x:c r="H13" s="35"/>
      <x:c r="I13" s="35"/>
      <x:c r="J13" s="38"/>
      <x:c r="K13" s="40"/>
      <x:c r="L13" s="40"/>
      <x:c r="M13" s="40"/>
      <x:c r="N13" s="27"/>
      <x:c r="O13" s="27"/>
    </x:row>
    <x:row r="14" ht="19.5" customHeight="1">
      <x:c r="A14" s="21"/>
      <x:c r="B14" s="30"/>
      <x:c r="C14" s="36"/>
      <x:c r="D14" s="35"/>
      <x:c r="E14" s="35"/>
      <x:c r="F14" s="35"/>
      <x:c r="G14" s="35"/>
      <x:c r="H14" s="35"/>
      <x:c r="I14" s="35"/>
      <x:c r="J14" s="38"/>
      <x:c r="K14" s="40"/>
      <x:c r="L14" s="40"/>
      <x:c r="M14" s="40"/>
      <x:c r="N14" s="27"/>
      <x:c r="O14" s="27"/>
    </x:row>
    <x:row r="15" ht="19.5" customHeight="1">
      <x:c r="A15" s="21"/>
      <x:c r="B15" s="30"/>
      <x:c r="C15" s="36"/>
      <x:c r="D15" s="35"/>
      <x:c r="E15" s="35"/>
      <x:c r="F15" s="35"/>
      <x:c r="G15" s="35"/>
      <x:c r="H15" s="35"/>
      <x:c r="I15" s="35"/>
      <x:c r="J15" s="38"/>
      <x:c r="K15" s="40"/>
      <x:c r="L15" s="40"/>
      <x:c r="M15" s="40"/>
      <x:c r="N15" s="27"/>
      <x:c r="O15" s="27"/>
    </x:row>
    <x:row r="16" ht="19.5" customHeight="1">
      <x:c r="A16" s="21"/>
      <x:c r="B16" s="30"/>
      <x:c r="C16" s="36"/>
      <x:c r="D16" s="35"/>
      <x:c r="E16" s="35"/>
      <x:c r="F16" s="35"/>
      <x:c r="G16" s="35"/>
      <x:c r="H16" s="35"/>
      <x:c r="I16" s="35"/>
      <x:c r="J16" s="38"/>
      <x:c r="K16" s="40"/>
      <x:c r="L16" s="40"/>
      <x:c r="M16" s="40"/>
      <x:c r="N16" s="27"/>
      <x:c r="O16" s="27"/>
    </x:row>
    <x:row r="17" ht="19.5" customHeight="1">
      <x:c r="A17" s="21"/>
      <x:c r="B17" s="30"/>
      <x:c r="C17" s="36"/>
      <x:c r="D17" s="35"/>
      <x:c r="E17" s="35"/>
      <x:c r="F17" s="35"/>
      <x:c r="G17" s="35"/>
      <x:c r="H17" s="35"/>
      <x:c r="I17" s="35"/>
      <x:c r="J17" s="38"/>
      <x:c r="K17" s="40"/>
      <x:c r="L17" s="40"/>
      <x:c r="M17" s="40"/>
      <x:c r="N17" s="27"/>
      <x:c r="O17" s="27"/>
    </x:row>
    <x:row r="18" ht="19.5" customHeight="1">
      <x:c r="A18" s="21"/>
      <x:c r="B18" s="30"/>
      <x:c r="C18" s="36"/>
      <x:c r="D18" s="35"/>
      <x:c r="E18" s="35"/>
      <x:c r="F18" s="35"/>
      <x:c r="G18" s="35"/>
      <x:c r="H18" s="35"/>
      <x:c r="I18" s="35"/>
      <x:c r="J18" s="38"/>
      <x:c r="K18" s="40"/>
      <x:c r="L18" s="40"/>
      <x:c r="M18" s="40"/>
      <x:c r="N18" s="27"/>
      <x:c r="O18" s="27"/>
    </x:row>
    <x:row r="19" ht="19.5" customHeight="1">
      <x:c r="A19" s="21"/>
      <x:c r="B19" s="30"/>
      <x:c r="C19" s="36"/>
      <x:c r="D19" s="35"/>
      <x:c r="E19" s="35"/>
      <x:c r="F19" s="35"/>
      <x:c r="G19" s="35"/>
      <x:c r="H19" s="35"/>
      <x:c r="I19" s="35"/>
      <x:c r="J19" s="38"/>
      <x:c r="K19" s="40"/>
      <x:c r="L19" s="40"/>
      <x:c r="M19" s="40"/>
      <x:c r="N19" s="27"/>
      <x:c r="O19" s="27"/>
    </x:row>
    <x:row r="20" ht="19.5" customHeight="1">
      <x:c r="A20" s="21"/>
      <x:c r="B20" s="30"/>
      <x:c r="C20" s="36"/>
      <x:c r="D20" s="35"/>
      <x:c r="E20" s="35"/>
      <x:c r="F20" s="35"/>
      <x:c r="G20" s="35"/>
      <x:c r="H20" s="35"/>
      <x:c r="I20" s="35"/>
      <x:c r="J20" s="38"/>
      <x:c r="K20" s="40"/>
      <x:c r="L20" s="40"/>
      <x:c r="M20" s="40"/>
      <x:c r="N20" s="27"/>
      <x:c r="O20" s="27"/>
    </x:row>
    <x:row r="21" ht="19.5" customHeight="1">
      <x:c r="A21" s="21"/>
      <x:c r="B21" s="30"/>
      <x:c r="C21" s="36"/>
      <x:c r="D21" s="35"/>
      <x:c r="E21" s="35"/>
      <x:c r="F21" s="35"/>
      <x:c r="G21" s="35"/>
      <x:c r="H21" s="35"/>
      <x:c r="I21" s="35"/>
      <x:c r="J21" s="38"/>
      <x:c r="K21" s="40"/>
      <x:c r="L21" s="40"/>
      <x:c r="M21" s="40"/>
      <x:c r="N21" s="27"/>
      <x:c r="O21" s="27"/>
    </x:row>
    <x:row r="22" ht="19.5" customHeight="1">
      <x:c r="A22" s="21"/>
      <x:c r="B22" s="30"/>
      <x:c r="C22" s="36"/>
      <x:c r="D22" s="35"/>
      <x:c r="E22" s="35"/>
      <x:c r="F22" s="35"/>
      <x:c r="G22" s="35"/>
      <x:c r="H22" s="35"/>
      <x:c r="I22" s="35"/>
      <x:c r="J22" s="38"/>
      <x:c r="K22" s="40"/>
      <x:c r="L22" s="40"/>
      <x:c r="M22" s="40"/>
      <x:c r="N22" s="27"/>
      <x:c r="O22" s="27"/>
    </x:row>
    <x:row r="23" ht="19.5" customHeight="1">
      <x:c r="A23" s="21"/>
      <x:c r="B23" s="30"/>
      <x:c r="C23" s="36"/>
      <x:c r="D23" s="35"/>
      <x:c r="E23" s="35"/>
      <x:c r="F23" s="35"/>
      <x:c r="G23" s="35"/>
      <x:c r="H23" s="35"/>
      <x:c r="I23" s="35"/>
      <x:c r="J23" s="38"/>
      <x:c r="K23" s="40"/>
      <x:c r="L23" s="40"/>
      <x:c r="M23" s="40"/>
      <x:c r="N23" s="27"/>
      <x:c r="O23" s="27"/>
    </x:row>
    <x:row r="24" ht="19.5" customHeight="1">
      <x:c r="A24" s="21"/>
      <x:c r="B24" s="30"/>
      <x:c r="C24" s="36"/>
      <x:c r="D24" s="35"/>
      <x:c r="E24" s="35"/>
      <x:c r="F24" s="35"/>
      <x:c r="G24" s="35"/>
      <x:c r="H24" s="35"/>
      <x:c r="I24" s="35"/>
      <x:c r="J24" s="38"/>
      <x:c r="K24" s="40"/>
      <x:c r="L24" s="40"/>
      <x:c r="M24" s="40"/>
      <x:c r="N24" s="27"/>
      <x:c r="O24" s="27"/>
    </x:row>
    <x:row r="25" ht="19.5" customHeight="1">
      <x:c r="A25" s="21"/>
      <x:c r="B25" s="30"/>
      <x:c r="C25" s="36"/>
      <x:c r="D25" s="35"/>
      <x:c r="E25" s="35"/>
      <x:c r="F25" s="35"/>
      <x:c r="G25" s="35"/>
      <x:c r="H25" s="35"/>
      <x:c r="I25" s="35"/>
      <x:c r="J25" s="38"/>
      <x:c r="K25" s="40"/>
      <x:c r="L25" s="40"/>
      <x:c r="M25" s="40"/>
      <x:c r="N25" s="27"/>
      <x:c r="O25" s="27"/>
    </x:row>
    <x:row r="26" ht="19.5" customHeight="1">
      <x:c r="A26" s="21"/>
      <x:c r="B26" s="30"/>
      <x:c r="C26" s="36"/>
      <x:c r="D26" s="35"/>
      <x:c r="E26" s="35"/>
      <x:c r="F26" s="35"/>
      <x:c r="G26" s="35"/>
      <x:c r="H26" s="35"/>
      <x:c r="I26" s="35"/>
      <x:c r="J26" s="38"/>
      <x:c r="K26" s="40"/>
      <x:c r="L26" s="40"/>
      <x:c r="M26" s="40"/>
      <x:c r="N26" s="27"/>
      <x:c r="O26" s="27"/>
    </x:row>
    <x:row r="27" ht="19.5" customHeight="1">
      <x:c r="A27" s="21"/>
      <x:c r="B27" s="30"/>
      <x:c r="C27" s="36"/>
      <x:c r="D27" s="35"/>
      <x:c r="E27" s="35"/>
      <x:c r="F27" s="35"/>
      <x:c r="G27" s="35"/>
      <x:c r="H27" s="35"/>
      <x:c r="I27" s="35"/>
      <x:c r="J27" s="38"/>
      <x:c r="K27" s="40"/>
      <x:c r="L27" s="40"/>
      <x:c r="M27" s="40"/>
      <x:c r="N27" s="27"/>
      <x:c r="O27" s="27"/>
    </x:row>
    <x:row r="28" ht="19.5" customHeight="1">
      <x:c r="A28" s="21"/>
      <x:c r="B28" s="30"/>
      <x:c r="C28" s="36"/>
      <x:c r="D28" s="35"/>
      <x:c r="E28" s="35"/>
      <x:c r="F28" s="35"/>
      <x:c r="G28" s="35"/>
      <x:c r="H28" s="35"/>
      <x:c r="I28" s="35"/>
      <x:c r="J28" s="38"/>
      <x:c r="K28" s="40"/>
      <x:c r="L28" s="40"/>
      <x:c r="M28" s="40"/>
      <x:c r="N28" s="27"/>
      <x:c r="O28" s="27"/>
    </x:row>
    <x:row r="29" ht="19.5" customHeight="1">
      <x:c r="A29" s="21"/>
      <x:c r="B29" s="30"/>
      <x:c r="C29" s="36"/>
      <x:c r="D29" s="35"/>
      <x:c r="E29" s="35"/>
      <x:c r="F29" s="35"/>
      <x:c r="G29" s="35"/>
      <x:c r="H29" s="35"/>
      <x:c r="I29" s="35"/>
      <x:c r="J29" s="38"/>
      <x:c r="K29" s="40"/>
      <x:c r="L29" s="40"/>
      <x:c r="M29" s="40"/>
      <x:c r="N29" s="27"/>
      <x:c r="O29" s="27"/>
    </x:row>
    <x:row r="30" ht="19.5" customHeight="1">
      <x:c r="A30" s="21"/>
      <x:c r="B30" s="30"/>
      <x:c r="C30" s="36"/>
      <x:c r="D30" s="35"/>
      <x:c r="E30" s="35"/>
      <x:c r="F30" s="35"/>
      <x:c r="G30" s="35"/>
      <x:c r="H30" s="35"/>
      <x:c r="I30" s="35"/>
      <x:c r="J30" s="38"/>
      <x:c r="K30" s="40"/>
      <x:c r="L30" s="40"/>
      <x:c r="M30" s="40"/>
      <x:c r="N30" s="27"/>
      <x:c r="O30" s="27"/>
    </x:row>
    <x:row r="31" ht="19.5" customHeight="1">
      <x:c r="A31" s="21"/>
      <x:c r="B31" s="30"/>
      <x:c r="C31" s="36"/>
      <x:c r="D31" s="35"/>
      <x:c r="E31" s="35"/>
      <x:c r="F31" s="35"/>
      <x:c r="G31" s="35"/>
      <x:c r="H31" s="35"/>
      <x:c r="I31" s="35"/>
      <x:c r="J31" s="38"/>
      <x:c r="K31" s="40"/>
      <x:c r="L31" s="40"/>
      <x:c r="M31" s="40"/>
      <x:c r="N31" s="27"/>
      <x:c r="O31" s="27"/>
    </x:row>
    <x:row r="32" ht="19.5" customHeight="1">
      <x:c r="A32" s="21"/>
      <x:c r="B32" s="30"/>
      <x:c r="C32" s="36"/>
      <x:c r="D32" s="35"/>
      <x:c r="E32" s="35"/>
      <x:c r="F32" s="35"/>
      <x:c r="G32" s="35"/>
      <x:c r="H32" s="35"/>
      <x:c r="I32" s="35"/>
      <x:c r="J32" s="38"/>
      <x:c r="K32" s="40"/>
      <x:c r="L32" s="40"/>
      <x:c r="M32" s="40"/>
      <x:c r="N32" s="27"/>
      <x:c r="O32" s="27"/>
    </x:row>
    <x:row r="33" ht="19.5" customHeight="1">
      <x:c r="A33" s="21"/>
      <x:c r="B33" s="30"/>
      <x:c r="C33" s="36"/>
      <x:c r="D33" s="35"/>
      <x:c r="E33" s="35"/>
      <x:c r="F33" s="35"/>
      <x:c r="G33" s="35"/>
      <x:c r="H33" s="35"/>
      <x:c r="I33" s="35"/>
      <x:c r="J33" s="38"/>
      <x:c r="K33" s="40"/>
      <x:c r="L33" s="40"/>
      <x:c r="M33" s="40"/>
      <x:c r="N33" s="27"/>
      <x:c r="O33" s="27"/>
    </x:row>
    <x:row r="34" ht="19.5" customHeight="1">
      <x:c r="A34" s="21"/>
      <x:c r="B34" s="30"/>
      <x:c r="C34" s="36"/>
      <x:c r="D34" s="35"/>
      <x:c r="E34" s="35"/>
      <x:c r="F34" s="35"/>
      <x:c r="G34" s="35"/>
      <x:c r="H34" s="35"/>
      <x:c r="I34" s="35"/>
      <x:c r="J34" s="38"/>
      <x:c r="K34" s="40"/>
      <x:c r="L34" s="40"/>
      <x:c r="M34" s="40"/>
      <x:c r="N34" s="27"/>
      <x:c r="O34" s="27"/>
    </x:row>
    <x:row r="35" ht="19.5" customHeight="1">
      <x:c r="A35" s="21"/>
      <x:c r="B35" s="30"/>
      <x:c r="C35" s="36"/>
      <x:c r="D35" s="35"/>
      <x:c r="E35" s="35"/>
      <x:c r="F35" s="35"/>
      <x:c r="G35" s="35"/>
      <x:c r="H35" s="35"/>
      <x:c r="I35" s="35"/>
      <x:c r="J35" s="38"/>
      <x:c r="K35" s="40"/>
      <x:c r="L35" s="40"/>
      <x:c r="M35" s="40"/>
      <x:c r="N35" s="27"/>
      <x:c r="O35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4.440000534057617" hidden="0" customWidth="1"/>
    <x:col min="3" max="3" width="12.4399995803833" hidden="0" customWidth="1"/>
    <x:col min="4" max="4" width="12.4399995803833" hidden="0" customWidth="1"/>
    <x:col min="5" max="5" width="11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8.4399995803833" hidden="0" customWidth="1"/>
    <x:col min="10" max="10" width="8.4399995803833" hidden="0" customWidth="1"/>
    <x:col min="11" max="11" width="8.4399995803833" hidden="0" customWidth="1"/>
    <x:col min="12" max="12" width="28.889999389648438" hidden="0" customWidth="1"/>
  </x:cols>
  <x:sheetData>
    <x:row r="1" ht="25.5" customHeight="1">
      <x:c r="A1" s="4" t="str">
        <x:v>네이버_일별입력 원천 입력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3">
      <x:c r="A3" s="13" t="str">
        <x:v>플랫폼에서 내려받은 일별/캠페인별 수치를 그대로 입력합니다. 코드 입력 없이 광고주 한 곳 기준으로 작성합니다.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5" t="str"/>
    </x:row>
    <x:row r="5" ht="18.75" customHeight="1">
      <x:c r="A5" s="26" t="str">
        <x:v>일자</x:v>
      </x:c>
      <x:c r="B5" s="26" t="str">
        <x:v>캠페인/상품군</x:v>
      </x:c>
      <x:c r="C5" s="26" t="str">
        <x:v>광고비</x:v>
      </x:c>
      <x:c r="D5" s="26" t="str">
        <x:v>매출</x:v>
      </x:c>
      <x:c r="E5" s="26" t="str">
        <x:v>노출수</x:v>
      </x:c>
      <x:c r="F5" s="26" t="str">
        <x:v>클릭수</x:v>
      </x:c>
      <x:c r="G5" s="26" t="str">
        <x:v>전환수</x:v>
      </x:c>
      <x:c r="H5" s="26" t="str">
        <x:v>구매수</x:v>
      </x:c>
      <x:c r="I5" s="26" t="str">
        <x:v>ROAS</x:v>
      </x:c>
      <x:c r="J5" s="26" t="str">
        <x:v>CTR</x:v>
      </x:c>
      <x:c r="K5" s="26" t="str">
        <x:v>CVR</x:v>
      </x:c>
      <x:c r="L5" s="26" t="str">
        <x:v>운영메모</x:v>
      </x:c>
    </x:row>
    <x:row r="6" ht="18.75" customHeight="1">
      <x:c r="A6" s="41" t="n">
        <x:v>46197</x:v>
      </x:c>
      <x:c r="B6" s="27" t="str">
        <x:v>브랜드 검색 캠페인</x:v>
      </x:c>
      <x:c r="C6" s="34" t="n">
        <x:v>1200000</x:v>
      </x:c>
      <x:c r="D6" s="34" t="n">
        <x:v>7200000</x:v>
      </x:c>
      <x:c r="E6" s="34" t="n">
        <x:v>180000</x:v>
      </x:c>
      <x:c r="F6" s="34" t="n">
        <x:v>6900</x:v>
      </x:c>
      <x:c r="G6" s="34" t="n">
        <x:v>330</x:v>
      </x:c>
      <x:c r="H6" s="34" t="n">
        <x:v>220</x:v>
      </x:c>
      <x:c r="I6" s="38" t="n">
        <x:f>IFERROR(D6/C6,0)</x:f>
        <x:v>6</x:v>
      </x:c>
      <x:c r="J6" s="40" t="n">
        <x:f>IFERROR(F6/E6,0)</x:f>
        <x:v>0.03833333333333333</x:v>
      </x:c>
      <x:c r="K6" s="40" t="n">
        <x:f>IFERROR(G6/F6,0)</x:f>
        <x:v>0.04782608695652174</x:v>
      </x:c>
      <x:c r="L6" s="27" t="str">
        <x:v>수치 확인 완료</x:v>
      </x:c>
    </x:row>
    <x:row r="7" ht="18.75" customHeight="1">
      <x:c r="A7" s="41" t="n">
        <x:v>46198</x:v>
      </x:c>
      <x:c r="B7" s="27" t="str">
        <x:v>브랜드 검색 캠페인</x:v>
      </x:c>
      <x:c r="C7" s="34" t="n">
        <x:v>980000</x:v>
      </x:c>
      <x:c r="D7" s="34" t="n">
        <x:v>6100000</x:v>
      </x:c>
      <x:c r="E7" s="34" t="n">
        <x:v>152000</x:v>
      </x:c>
      <x:c r="F7" s="34" t="n">
        <x:v>5700</x:v>
      </x:c>
      <x:c r="G7" s="34" t="n">
        <x:v>284</x:v>
      </x:c>
      <x:c r="H7" s="34" t="n">
        <x:v>190</x:v>
      </x:c>
      <x:c r="I7" s="38" t="n">
        <x:f>IFERROR(D7/C7,0)</x:f>
        <x:v>6.224489795918367</x:v>
      </x:c>
      <x:c r="J7" s="40" t="n">
        <x:f>IFERROR(F7/E7,0)</x:f>
        <x:v>0.0375</x:v>
      </x:c>
      <x:c r="K7" s="40" t="n">
        <x:f>IFERROR(G7/F7,0)</x:f>
        <x:v>0.04982456140350877</x:v>
      </x:c>
      <x:c r="L7" s="27" t="str">
        <x:v>정상</x:v>
      </x:c>
    </x:row>
    <x:row r="8" ht="18.75" customHeight="1">
      <x:c r="A8" s="41" t="n">
        <x:v>46199</x:v>
      </x:c>
      <x:c r="B8" s="27" t="str">
        <x:v>키워드 확장 캠페인</x:v>
      </x:c>
      <x:c r="C8" s="34" t="n">
        <x:v>1020000</x:v>
      </x:c>
      <x:c r="D8" s="34" t="n">
        <x:v>5300000</x:v>
      </x:c>
      <x:c r="E8" s="34" t="n">
        <x:v>178000</x:v>
      </x:c>
      <x:c r="F8" s="34" t="n">
        <x:v>6800</x:v>
      </x:c>
      <x:c r="G8" s="34" t="n">
        <x:v>337</x:v>
      </x:c>
      <x:c r="H8" s="34" t="n">
        <x:v>232</x:v>
      </x:c>
      <x:c r="I8" s="38" t="n">
        <x:f>IFERROR(D8/C8,0)</x:f>
        <x:v>5.196078431372549</x:v>
      </x:c>
      <x:c r="J8" s="40" t="n">
        <x:f>IFERROR(F8/E8,0)</x:f>
        <x:v>0.038202247191011236</x:v>
      </x:c>
      <x:c r="K8" s="40" t="n">
        <x:f>IFERROR(G8/F8,0)</x:f>
        <x:v>0.049558823529411766</x:v>
      </x:c>
      <x:c r="L8" s="27" t="str">
        <x:v>소재/키워드 확인</x:v>
      </x:c>
    </x:row>
    <x:row r="9" ht="18.75" customHeight="1">
      <x:c r="A9" s="41" t="str">
        <x:v>합계</x:v>
      </x:c>
      <x:c r="B9" s="27" t="str"/>
      <x:c r="C9" s="34" t="n">
        <x:f>SUM(C6:C8)</x:f>
        <x:v>3200000</x:v>
      </x:c>
      <x:c r="D9" s="34" t="n">
        <x:f>SUM(D6:D8)</x:f>
        <x:v>18600000</x:v>
      </x:c>
      <x:c r="E9" s="34" t="n">
        <x:f>SUM(E6:E8)</x:f>
        <x:v>510000</x:v>
      </x:c>
      <x:c r="F9" s="34" t="n">
        <x:f>SUM(F6:F8)</x:f>
        <x:v>19400</x:v>
      </x:c>
      <x:c r="G9" s="34" t="n">
        <x:f>SUM(G6:G8)</x:f>
        <x:v>951</x:v>
      </x:c>
      <x:c r="H9" s="34" t="n">
        <x:f>SUM(H6:H8)</x:f>
        <x:v>642</x:v>
      </x:c>
      <x:c r="I9" s="38" t="n">
        <x:f>IFERROR(D9/C9,0)</x:f>
        <x:v>5.8125</x:v>
      </x:c>
      <x:c r="J9" s="40" t="n">
        <x:f>IFERROR(F9/E9,0)</x:f>
        <x:v>0.03803921568627451</x:v>
      </x:c>
      <x:c r="K9" s="40" t="n">
        <x:f>IFERROR(G9/F9,0)</x:f>
        <x:v>0.04902061855670103</x:v>
      </x:c>
      <x:c r="L9" s="27" t="str">
        <x:v>합계 검수</x:v>
      </x:c>
    </x:row>
    <x:row r="10" ht="18.75" customHeight="1">
      <x:c r="A10" s="41"/>
      <x:c r="B10" s="27"/>
      <x:c r="C10" s="34"/>
      <x:c r="D10" s="34"/>
      <x:c r="E10" s="34"/>
      <x:c r="F10" s="34"/>
      <x:c r="G10" s="34"/>
      <x:c r="H10" s="34"/>
      <x:c r="I10" s="38"/>
      <x:c r="J10" s="40"/>
      <x:c r="K10" s="40"/>
      <x:c r="L10" s="27"/>
    </x:row>
    <x:row r="11" ht="18.75" customHeight="1">
      <x:c r="A11" s="41"/>
      <x:c r="B11" s="27"/>
      <x:c r="C11" s="34"/>
      <x:c r="D11" s="34"/>
      <x:c r="E11" s="34"/>
      <x:c r="F11" s="34"/>
      <x:c r="G11" s="34"/>
      <x:c r="H11" s="34"/>
      <x:c r="I11" s="38"/>
      <x:c r="J11" s="40"/>
      <x:c r="K11" s="40"/>
      <x:c r="L11" s="27"/>
    </x:row>
    <x:row r="12" ht="18.75" customHeight="1">
      <x:c r="A12" s="41"/>
      <x:c r="B12" s="27"/>
      <x:c r="C12" s="34"/>
      <x:c r="D12" s="34"/>
      <x:c r="E12" s="34"/>
      <x:c r="F12" s="34"/>
      <x:c r="G12" s="34"/>
      <x:c r="H12" s="34"/>
      <x:c r="I12" s="38"/>
      <x:c r="J12" s="40"/>
      <x:c r="K12" s="40"/>
      <x:c r="L12" s="27"/>
    </x:row>
    <x:row r="13" ht="18.75" customHeight="1">
      <x:c r="A13" s="41"/>
      <x:c r="B13" s="27"/>
      <x:c r="C13" s="34"/>
      <x:c r="D13" s="34"/>
      <x:c r="E13" s="34"/>
      <x:c r="F13" s="34"/>
      <x:c r="G13" s="34"/>
      <x:c r="H13" s="34"/>
      <x:c r="I13" s="38"/>
      <x:c r="J13" s="40"/>
      <x:c r="K13" s="40"/>
      <x:c r="L13" s="27"/>
    </x:row>
    <x:row r="14" ht="18.75" customHeight="1">
      <x:c r="A14" s="41"/>
      <x:c r="B14" s="27"/>
      <x:c r="C14" s="34"/>
      <x:c r="D14" s="34"/>
      <x:c r="E14" s="34"/>
      <x:c r="F14" s="34"/>
      <x:c r="G14" s="34"/>
      <x:c r="H14" s="34"/>
      <x:c r="I14" s="38"/>
      <x:c r="J14" s="40"/>
      <x:c r="K14" s="40"/>
      <x:c r="L14" s="27"/>
    </x:row>
    <x:row r="15" ht="18.75" customHeight="1">
      <x:c r="A15" s="41"/>
      <x:c r="B15" s="27"/>
      <x:c r="C15" s="34"/>
      <x:c r="D15" s="34"/>
      <x:c r="E15" s="34"/>
      <x:c r="F15" s="34"/>
      <x:c r="G15" s="34"/>
      <x:c r="H15" s="34"/>
      <x:c r="I15" s="38"/>
      <x:c r="J15" s="40"/>
      <x:c r="K15" s="40"/>
      <x:c r="L15" s="27"/>
    </x:row>
    <x:row r="16" ht="18.75" customHeight="1">
      <x:c r="A16" s="41"/>
      <x:c r="B16" s="27"/>
      <x:c r="C16" s="34"/>
      <x:c r="D16" s="34"/>
      <x:c r="E16" s="34"/>
      <x:c r="F16" s="34"/>
      <x:c r="G16" s="34"/>
      <x:c r="H16" s="34"/>
      <x:c r="I16" s="38"/>
      <x:c r="J16" s="40"/>
      <x:c r="K16" s="40"/>
      <x:c r="L16" s="27"/>
    </x:row>
    <x:row r="17" ht="18.75" customHeight="1">
      <x:c r="A17" s="41"/>
      <x:c r="B17" s="27"/>
      <x:c r="C17" s="34"/>
      <x:c r="D17" s="34"/>
      <x:c r="E17" s="34"/>
      <x:c r="F17" s="34"/>
      <x:c r="G17" s="34"/>
      <x:c r="H17" s="34"/>
      <x:c r="I17" s="38"/>
      <x:c r="J17" s="40"/>
      <x:c r="K17" s="40"/>
      <x:c r="L17" s="27"/>
    </x:row>
    <x:row r="18" ht="18.75" customHeight="1">
      <x:c r="A18" s="41"/>
      <x:c r="B18" s="27"/>
      <x:c r="C18" s="34"/>
      <x:c r="D18" s="34"/>
      <x:c r="E18" s="34"/>
      <x:c r="F18" s="34"/>
      <x:c r="G18" s="34"/>
      <x:c r="H18" s="34"/>
      <x:c r="I18" s="38"/>
      <x:c r="J18" s="40"/>
      <x:c r="K18" s="40"/>
      <x:c r="L18" s="27"/>
    </x:row>
    <x:row r="19" ht="18.75" customHeight="1">
      <x:c r="A19" s="41"/>
      <x:c r="B19" s="27"/>
      <x:c r="C19" s="34"/>
      <x:c r="D19" s="34"/>
      <x:c r="E19" s="34"/>
      <x:c r="F19" s="34"/>
      <x:c r="G19" s="34"/>
      <x:c r="H19" s="34"/>
      <x:c r="I19" s="38"/>
      <x:c r="J19" s="40"/>
      <x:c r="K19" s="40"/>
      <x:c r="L19" s="27"/>
    </x:row>
    <x:row r="20" ht="18.75" customHeight="1">
      <x:c r="A20" s="41"/>
      <x:c r="B20" s="27"/>
      <x:c r="C20" s="34"/>
      <x:c r="D20" s="34"/>
      <x:c r="E20" s="34"/>
      <x:c r="F20" s="34"/>
      <x:c r="G20" s="34"/>
      <x:c r="H20" s="34"/>
      <x:c r="I20" s="38"/>
      <x:c r="J20" s="40"/>
      <x:c r="K20" s="40"/>
      <x:c r="L20" s="27"/>
    </x:row>
    <x:row r="21" ht="18.75" customHeight="1">
      <x:c r="A21" s="41"/>
      <x:c r="B21" s="27"/>
      <x:c r="C21" s="34"/>
      <x:c r="D21" s="34"/>
      <x:c r="E21" s="34"/>
      <x:c r="F21" s="34"/>
      <x:c r="G21" s="34"/>
      <x:c r="H21" s="34"/>
      <x:c r="I21" s="38"/>
      <x:c r="J21" s="40"/>
      <x:c r="K21" s="40"/>
      <x:c r="L21" s="27"/>
    </x:row>
    <x:row r="22" ht="18.75" customHeight="1">
      <x:c r="A22" s="41"/>
      <x:c r="B22" s="27"/>
      <x:c r="C22" s="34"/>
      <x:c r="D22" s="34"/>
      <x:c r="E22" s="34"/>
      <x:c r="F22" s="34"/>
      <x:c r="G22" s="34"/>
      <x:c r="H22" s="34"/>
      <x:c r="I22" s="38"/>
      <x:c r="J22" s="40"/>
      <x:c r="K22" s="40"/>
      <x:c r="L22" s="27"/>
    </x:row>
    <x:row r="23" ht="18.75" customHeight="1">
      <x:c r="A23" s="41"/>
      <x:c r="B23" s="27"/>
      <x:c r="C23" s="34"/>
      <x:c r="D23" s="34"/>
      <x:c r="E23" s="34"/>
      <x:c r="F23" s="34"/>
      <x:c r="G23" s="34"/>
      <x:c r="H23" s="34"/>
      <x:c r="I23" s="38"/>
      <x:c r="J23" s="40"/>
      <x:c r="K23" s="40"/>
      <x:c r="L23" s="27"/>
    </x:row>
    <x:row r="24" ht="18.75" customHeight="1">
      <x:c r="A24" s="41"/>
      <x:c r="B24" s="27"/>
      <x:c r="C24" s="34"/>
      <x:c r="D24" s="34"/>
      <x:c r="E24" s="34"/>
      <x:c r="F24" s="34"/>
      <x:c r="G24" s="34"/>
      <x:c r="H24" s="34"/>
      <x:c r="I24" s="38"/>
      <x:c r="J24" s="40"/>
      <x:c r="K24" s="40"/>
      <x:c r="L24" s="27"/>
    </x:row>
    <x:row r="25" ht="18.75" customHeight="1">
      <x:c r="A25" s="41"/>
      <x:c r="B25" s="27"/>
      <x:c r="C25" s="34"/>
      <x:c r="D25" s="34"/>
      <x:c r="E25" s="34"/>
      <x:c r="F25" s="34"/>
      <x:c r="G25" s="34"/>
      <x:c r="H25" s="34"/>
      <x:c r="I25" s="38"/>
      <x:c r="J25" s="40"/>
      <x:c r="K25" s="40"/>
      <x:c r="L25" s="27"/>
    </x:row>
    <x:row r="26" ht="18.75" customHeight="1">
      <x:c r="A26" s="41"/>
      <x:c r="B26" s="27"/>
      <x:c r="C26" s="34"/>
      <x:c r="D26" s="34"/>
      <x:c r="E26" s="34"/>
      <x:c r="F26" s="34"/>
      <x:c r="G26" s="34"/>
      <x:c r="H26" s="34"/>
      <x:c r="I26" s="38"/>
      <x:c r="J26" s="40"/>
      <x:c r="K26" s="40"/>
      <x:c r="L26" s="27"/>
    </x:row>
    <x:row r="27" ht="18.75" customHeight="1">
      <x:c r="A27" s="41"/>
      <x:c r="B27" s="27"/>
      <x:c r="C27" s="34"/>
      <x:c r="D27" s="34"/>
      <x:c r="E27" s="34"/>
      <x:c r="F27" s="34"/>
      <x:c r="G27" s="34"/>
      <x:c r="H27" s="34"/>
      <x:c r="I27" s="38"/>
      <x:c r="J27" s="40"/>
      <x:c r="K27" s="40"/>
      <x:c r="L27" s="27"/>
    </x:row>
    <x:row r="28" ht="18.75" customHeight="1">
      <x:c r="A28" s="41"/>
      <x:c r="B28" s="27"/>
      <x:c r="C28" s="34"/>
      <x:c r="D28" s="34"/>
      <x:c r="E28" s="34"/>
      <x:c r="F28" s="34"/>
      <x:c r="G28" s="34"/>
      <x:c r="H28" s="34"/>
      <x:c r="I28" s="38"/>
      <x:c r="J28" s="40"/>
      <x:c r="K28" s="40"/>
      <x:c r="L28" s="27"/>
    </x:row>
    <x:row r="29" ht="18.75" customHeight="1">
      <x:c r="A29" s="41"/>
      <x:c r="B29" s="27"/>
      <x:c r="C29" s="34"/>
      <x:c r="D29" s="34"/>
      <x:c r="E29" s="34"/>
      <x:c r="F29" s="34"/>
      <x:c r="G29" s="34"/>
      <x:c r="H29" s="34"/>
      <x:c r="I29" s="38"/>
      <x:c r="J29" s="40"/>
      <x:c r="K29" s="40"/>
      <x:c r="L29" s="27"/>
    </x:row>
    <x:row r="30" ht="18.75" customHeight="1">
      <x:c r="A30" s="41"/>
      <x:c r="B30" s="27"/>
      <x:c r="C30" s="34"/>
      <x:c r="D30" s="34"/>
      <x:c r="E30" s="34"/>
      <x:c r="F30" s="34"/>
      <x:c r="G30" s="34"/>
      <x:c r="H30" s="34"/>
      <x:c r="I30" s="38"/>
      <x:c r="J30" s="40"/>
      <x:c r="K30" s="40"/>
      <x:c r="L30" s="27"/>
    </x:row>
    <x:row r="31" ht="18.75" customHeight="1">
      <x:c r="A31" s="41"/>
      <x:c r="B31" s="27"/>
      <x:c r="C31" s="34"/>
      <x:c r="D31" s="34"/>
      <x:c r="E31" s="34"/>
      <x:c r="F31" s="34"/>
      <x:c r="G31" s="34"/>
      <x:c r="H31" s="34"/>
      <x:c r="I31" s="38"/>
      <x:c r="J31" s="40"/>
      <x:c r="K31" s="40"/>
      <x:c r="L31" s="27"/>
    </x:row>
    <x:row r="32" ht="18.75" customHeight="1">
      <x:c r="A32" s="41"/>
      <x:c r="B32" s="27"/>
      <x:c r="C32" s="34"/>
      <x:c r="D32" s="34"/>
      <x:c r="E32" s="34"/>
      <x:c r="F32" s="34"/>
      <x:c r="G32" s="34"/>
      <x:c r="H32" s="34"/>
      <x:c r="I32" s="38"/>
      <x:c r="J32" s="40"/>
      <x:c r="K32" s="40"/>
      <x:c r="L32" s="27"/>
    </x:row>
    <x:row r="33" ht="18.75" customHeight="1">
      <x:c r="A33" s="41"/>
      <x:c r="B33" s="27"/>
      <x:c r="C33" s="34"/>
      <x:c r="D33" s="34"/>
      <x:c r="E33" s="34"/>
      <x:c r="F33" s="34"/>
      <x:c r="G33" s="34"/>
      <x:c r="H33" s="34"/>
      <x:c r="I33" s="38"/>
      <x:c r="J33" s="40"/>
      <x:c r="K33" s="40"/>
      <x:c r="L33" s="27"/>
    </x:row>
    <x:row r="34" ht="18.75" customHeight="1">
      <x:c r="A34" s="41"/>
      <x:c r="B34" s="27"/>
      <x:c r="C34" s="34"/>
      <x:c r="D34" s="34"/>
      <x:c r="E34" s="34"/>
      <x:c r="F34" s="34"/>
      <x:c r="G34" s="34"/>
      <x:c r="H34" s="34"/>
      <x:c r="I34" s="38"/>
      <x:c r="J34" s="40"/>
      <x:c r="K34" s="40"/>
      <x:c r="L34" s="27"/>
    </x:row>
    <x:row r="35" ht="18.75" customHeight="1">
      <x:c r="A35" s="41"/>
      <x:c r="B35" s="27"/>
      <x:c r="C35" s="34"/>
      <x:c r="D35" s="34"/>
      <x:c r="E35" s="34"/>
      <x:c r="F35" s="34"/>
      <x:c r="G35" s="34"/>
      <x:c r="H35" s="34"/>
      <x:c r="I35" s="38"/>
      <x:c r="J35" s="40"/>
      <x:c r="K35" s="40"/>
      <x:c r="L35" s="27"/>
    </x:row>
    <x:row r="36" ht="18.75" customHeight="1">
      <x:c r="A36" s="41"/>
      <x:c r="B36" s="27"/>
      <x:c r="C36" s="34"/>
      <x:c r="D36" s="34"/>
      <x:c r="E36" s="34"/>
      <x:c r="F36" s="34"/>
      <x:c r="G36" s="34"/>
      <x:c r="H36" s="34"/>
      <x:c r="I36" s="38"/>
      <x:c r="J36" s="40"/>
      <x:c r="K36" s="40"/>
      <x:c r="L36" s="27"/>
    </x:row>
    <x:row r="37" ht="18.75" customHeight="1">
      <x:c r="A37" s="41"/>
      <x:c r="B37" s="27"/>
      <x:c r="C37" s="34"/>
      <x:c r="D37" s="34"/>
      <x:c r="E37" s="34"/>
      <x:c r="F37" s="34"/>
      <x:c r="G37" s="34"/>
      <x:c r="H37" s="34"/>
      <x:c r="I37" s="38"/>
      <x:c r="J37" s="40"/>
      <x:c r="K37" s="40"/>
      <x:c r="L37" s="27"/>
    </x:row>
    <x:row r="38" ht="18.75" customHeight="1">
      <x:c r="A38" s="41"/>
      <x:c r="B38" s="27"/>
      <x:c r="C38" s="34"/>
      <x:c r="D38" s="34"/>
      <x:c r="E38" s="34"/>
      <x:c r="F38" s="34"/>
      <x:c r="G38" s="34"/>
      <x:c r="H38" s="34"/>
      <x:c r="I38" s="38"/>
      <x:c r="J38" s="40"/>
      <x:c r="K38" s="40"/>
      <x:c r="L38" s="27"/>
    </x:row>
    <x:row r="39" ht="18.75" customHeight="1">
      <x:c r="A39" s="41"/>
      <x:c r="B39" s="27"/>
      <x:c r="C39" s="34"/>
      <x:c r="D39" s="34"/>
      <x:c r="E39" s="34"/>
      <x:c r="F39" s="34"/>
      <x:c r="G39" s="34"/>
      <x:c r="H39" s="34"/>
      <x:c r="I39" s="38"/>
      <x:c r="J39" s="40"/>
      <x:c r="K39" s="40"/>
      <x:c r="L39" s="27"/>
    </x:row>
    <x:row r="40" ht="18.75" customHeight="1">
      <x:c r="A40" s="41"/>
      <x:c r="B40" s="27"/>
      <x:c r="C40" s="34"/>
      <x:c r="D40" s="34"/>
      <x:c r="E40" s="34"/>
      <x:c r="F40" s="34"/>
      <x:c r="G40" s="34"/>
      <x:c r="H40" s="34"/>
      <x:c r="I40" s="38"/>
      <x:c r="J40" s="40"/>
      <x:c r="K40" s="40"/>
      <x:c r="L40" s="27"/>
    </x:row>
    <x:row r="41" ht="18.75" customHeight="1">
      <x:c r="A41" s="41"/>
      <x:c r="B41" s="27"/>
      <x:c r="C41" s="34"/>
      <x:c r="D41" s="34"/>
      <x:c r="E41" s="34"/>
      <x:c r="F41" s="34"/>
      <x:c r="G41" s="34"/>
      <x:c r="H41" s="34"/>
      <x:c r="I41" s="38"/>
      <x:c r="J41" s="40"/>
      <x:c r="K41" s="40"/>
      <x:c r="L41" s="27"/>
    </x:row>
    <x:row r="42" ht="18.75" customHeight="1">
      <x:c r="A42" s="41"/>
      <x:c r="B42" s="27"/>
      <x:c r="C42" s="34"/>
      <x:c r="D42" s="34"/>
      <x:c r="E42" s="34"/>
      <x:c r="F42" s="34"/>
      <x:c r="G42" s="34"/>
      <x:c r="H42" s="34"/>
      <x:c r="I42" s="38"/>
      <x:c r="J42" s="40"/>
      <x:c r="K42" s="40"/>
      <x:c r="L42" s="27"/>
    </x:row>
    <x:row r="43" ht="18.75" customHeight="1">
      <x:c r="A43" s="41"/>
      <x:c r="B43" s="27"/>
      <x:c r="C43" s="34"/>
      <x:c r="D43" s="34"/>
      <x:c r="E43" s="34"/>
      <x:c r="F43" s="34"/>
      <x:c r="G43" s="34"/>
      <x:c r="H43" s="34"/>
      <x:c r="I43" s="38"/>
      <x:c r="J43" s="40"/>
      <x:c r="K43" s="40"/>
      <x:c r="L43" s="27"/>
    </x:row>
    <x:row r="44" ht="18.75" customHeight="1">
      <x:c r="A44" s="41"/>
      <x:c r="B44" s="27"/>
      <x:c r="C44" s="34"/>
      <x:c r="D44" s="34"/>
      <x:c r="E44" s="34"/>
      <x:c r="F44" s="34"/>
      <x:c r="G44" s="34"/>
      <x:c r="H44" s="34"/>
      <x:c r="I44" s="38"/>
      <x:c r="J44" s="40"/>
      <x:c r="K44" s="40"/>
      <x:c r="L44" s="27"/>
    </x:row>
    <x:row r="45" ht="18.75" customHeight="1">
      <x:c r="A45" s="41"/>
      <x:c r="B45" s="27"/>
      <x:c r="C45" s="34"/>
      <x:c r="D45" s="34"/>
      <x:c r="E45" s="34"/>
      <x:c r="F45" s="34"/>
      <x:c r="G45" s="34"/>
      <x:c r="H45" s="34"/>
      <x:c r="I45" s="38"/>
      <x:c r="J45" s="40"/>
      <x:c r="K45" s="40"/>
      <x:c r="L45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4.440000534057617" hidden="0" customWidth="1"/>
    <x:col min="3" max="3" width="12.4399995803833" hidden="0" customWidth="1"/>
    <x:col min="4" max="4" width="12.4399995803833" hidden="0" customWidth="1"/>
    <x:col min="5" max="5" width="11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8.4399995803833" hidden="0" customWidth="1"/>
    <x:col min="10" max="10" width="8.4399995803833" hidden="0" customWidth="1"/>
    <x:col min="11" max="11" width="8.4399995803833" hidden="0" customWidth="1"/>
    <x:col min="12" max="12" width="28.889999389648438" hidden="0" customWidth="1"/>
  </x:cols>
  <x:sheetData>
    <x:row r="1" ht="25.5" customHeight="1">
      <x:c r="A1" s="4" t="str">
        <x:v>쿠팡_일별입력 원천 입력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3">
      <x:c r="A3" s="13" t="str">
        <x:v>플랫폼에서 내려받은 일별/캠페인별 수치를 그대로 입력합니다. 코드 입력 없이 광고주 한 곳 기준으로 작성합니다.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5" t="str"/>
    </x:row>
    <x:row r="5" ht="18.75" customHeight="1">
      <x:c r="A5" s="26" t="str">
        <x:v>일자</x:v>
      </x:c>
      <x:c r="B5" s="26" t="str">
        <x:v>캠페인/상품군</x:v>
      </x:c>
      <x:c r="C5" s="26" t="str">
        <x:v>광고비</x:v>
      </x:c>
      <x:c r="D5" s="26" t="str">
        <x:v>매출</x:v>
      </x:c>
      <x:c r="E5" s="26" t="str">
        <x:v>노출수</x:v>
      </x:c>
      <x:c r="F5" s="26" t="str">
        <x:v>클릭수</x:v>
      </x:c>
      <x:c r="G5" s="26" t="str">
        <x:v>전환수</x:v>
      </x:c>
      <x:c r="H5" s="26" t="str">
        <x:v>구매수</x:v>
      </x:c>
      <x:c r="I5" s="26" t="str">
        <x:v>ROAS</x:v>
      </x:c>
      <x:c r="J5" s="26" t="str">
        <x:v>CTR</x:v>
      </x:c>
      <x:c r="K5" s="26" t="str">
        <x:v>CVR</x:v>
      </x:c>
      <x:c r="L5" s="26" t="str">
        <x:v>운영메모</x:v>
      </x:c>
    </x:row>
    <x:row r="6" ht="18.75" customHeight="1">
      <x:c r="A6" s="41" t="n">
        <x:v>46197</x:v>
      </x:c>
      <x:c r="B6" s="27" t="str">
        <x:v>상품 검색 캠페인</x:v>
      </x:c>
      <x:c r="C6" s="34" t="n">
        <x:v>1200000</x:v>
      </x:c>
      <x:c r="D6" s="34" t="n">
        <x:v>7200000</x:v>
      </x:c>
      <x:c r="E6" s="34" t="n">
        <x:v>180000</x:v>
      </x:c>
      <x:c r="F6" s="34" t="n">
        <x:v>6900</x:v>
      </x:c>
      <x:c r="G6" s="34" t="n">
        <x:v>330</x:v>
      </x:c>
      <x:c r="H6" s="34" t="n">
        <x:v>220</x:v>
      </x:c>
      <x:c r="I6" s="38" t="n">
        <x:f>IFERROR(D6/C6,0)</x:f>
        <x:v>6</x:v>
      </x:c>
      <x:c r="J6" s="40" t="n">
        <x:f>IFERROR(F6/E6,0)</x:f>
        <x:v>0.03833333333333333</x:v>
      </x:c>
      <x:c r="K6" s="40" t="n">
        <x:f>IFERROR(G6/F6,0)</x:f>
        <x:v>0.04782608695652174</x:v>
      </x:c>
      <x:c r="L6" s="27" t="str">
        <x:v>수치 확인 완료</x:v>
      </x:c>
    </x:row>
    <x:row r="7" ht="18.75" customHeight="1">
      <x:c r="A7" s="41" t="n">
        <x:v>46198</x:v>
      </x:c>
      <x:c r="B7" s="27" t="str">
        <x:v>상품 검색 캠페인</x:v>
      </x:c>
      <x:c r="C7" s="34" t="n">
        <x:v>980000</x:v>
      </x:c>
      <x:c r="D7" s="34" t="n">
        <x:v>6100000</x:v>
      </x:c>
      <x:c r="E7" s="34" t="n">
        <x:v>152000</x:v>
      </x:c>
      <x:c r="F7" s="34" t="n">
        <x:v>5700</x:v>
      </x:c>
      <x:c r="G7" s="34" t="n">
        <x:v>284</x:v>
      </x:c>
      <x:c r="H7" s="34" t="n">
        <x:v>190</x:v>
      </x:c>
      <x:c r="I7" s="38" t="n">
        <x:f>IFERROR(D7/C7,0)</x:f>
        <x:v>6.224489795918367</x:v>
      </x:c>
      <x:c r="J7" s="40" t="n">
        <x:f>IFERROR(F7/E7,0)</x:f>
        <x:v>0.0375</x:v>
      </x:c>
      <x:c r="K7" s="40" t="n">
        <x:f>IFERROR(G7/F7,0)</x:f>
        <x:v>0.04982456140350877</x:v>
      </x:c>
      <x:c r="L7" s="27" t="str">
        <x:v>정상</x:v>
      </x:c>
    </x:row>
    <x:row r="8" ht="18.75" customHeight="1">
      <x:c r="A8" s="41" t="n">
        <x:v>46199</x:v>
      </x:c>
      <x:c r="B8" s="27" t="str">
        <x:v>상품 확장 캠페인</x:v>
      </x:c>
      <x:c r="C8" s="34" t="n">
        <x:v>1020000</x:v>
      </x:c>
      <x:c r="D8" s="34" t="n">
        <x:v>5300000</x:v>
      </x:c>
      <x:c r="E8" s="34" t="n">
        <x:v>178000</x:v>
      </x:c>
      <x:c r="F8" s="34" t="n">
        <x:v>6800</x:v>
      </x:c>
      <x:c r="G8" s="34" t="n">
        <x:v>337</x:v>
      </x:c>
      <x:c r="H8" s="34" t="n">
        <x:v>232</x:v>
      </x:c>
      <x:c r="I8" s="38" t="n">
        <x:f>IFERROR(D8/C8,0)</x:f>
        <x:v>5.196078431372549</x:v>
      </x:c>
      <x:c r="J8" s="40" t="n">
        <x:f>IFERROR(F8/E8,0)</x:f>
        <x:v>0.038202247191011236</x:v>
      </x:c>
      <x:c r="K8" s="40" t="n">
        <x:f>IFERROR(G8/F8,0)</x:f>
        <x:v>0.049558823529411766</x:v>
      </x:c>
      <x:c r="L8" s="27" t="str">
        <x:v>소재/키워드 확인</x:v>
      </x:c>
    </x:row>
    <x:row r="9" ht="18.75" customHeight="1">
      <x:c r="A9" s="41" t="str">
        <x:v>합계</x:v>
      </x:c>
      <x:c r="B9" s="27" t="str"/>
      <x:c r="C9" s="34" t="n">
        <x:f>SUM(C6:C8)</x:f>
        <x:v>3200000</x:v>
      </x:c>
      <x:c r="D9" s="34" t="n">
        <x:f>SUM(D6:D8)</x:f>
        <x:v>18600000</x:v>
      </x:c>
      <x:c r="E9" s="34" t="n">
        <x:f>SUM(E6:E8)</x:f>
        <x:v>510000</x:v>
      </x:c>
      <x:c r="F9" s="34" t="n">
        <x:f>SUM(F6:F8)</x:f>
        <x:v>19400</x:v>
      </x:c>
      <x:c r="G9" s="34" t="n">
        <x:f>SUM(G6:G8)</x:f>
        <x:v>951</x:v>
      </x:c>
      <x:c r="H9" s="34" t="n">
        <x:f>SUM(H6:H8)</x:f>
        <x:v>642</x:v>
      </x:c>
      <x:c r="I9" s="38" t="n">
        <x:f>IFERROR(D9/C9,0)</x:f>
        <x:v>5.8125</x:v>
      </x:c>
      <x:c r="J9" s="40" t="n">
        <x:f>IFERROR(F9/E9,0)</x:f>
        <x:v>0.03803921568627451</x:v>
      </x:c>
      <x:c r="K9" s="40" t="n">
        <x:f>IFERROR(G9/F9,0)</x:f>
        <x:v>0.04902061855670103</x:v>
      </x:c>
      <x:c r="L9" s="27" t="str">
        <x:v>합계 검수</x:v>
      </x:c>
    </x:row>
    <x:row r="10" ht="18.75" customHeight="1">
      <x:c r="A10" s="41"/>
      <x:c r="B10" s="27"/>
      <x:c r="C10" s="34"/>
      <x:c r="D10" s="34"/>
      <x:c r="E10" s="34"/>
      <x:c r="F10" s="34"/>
      <x:c r="G10" s="34"/>
      <x:c r="H10" s="34"/>
      <x:c r="I10" s="38"/>
      <x:c r="J10" s="40"/>
      <x:c r="K10" s="40"/>
      <x:c r="L10" s="27"/>
    </x:row>
    <x:row r="11" ht="18.75" customHeight="1">
      <x:c r="A11" s="41"/>
      <x:c r="B11" s="27"/>
      <x:c r="C11" s="34"/>
      <x:c r="D11" s="34"/>
      <x:c r="E11" s="34"/>
      <x:c r="F11" s="34"/>
      <x:c r="G11" s="34"/>
      <x:c r="H11" s="34"/>
      <x:c r="I11" s="38"/>
      <x:c r="J11" s="40"/>
      <x:c r="K11" s="40"/>
      <x:c r="L11" s="27"/>
    </x:row>
    <x:row r="12" ht="18.75" customHeight="1">
      <x:c r="A12" s="41"/>
      <x:c r="B12" s="27"/>
      <x:c r="C12" s="34"/>
      <x:c r="D12" s="34"/>
      <x:c r="E12" s="34"/>
      <x:c r="F12" s="34"/>
      <x:c r="G12" s="34"/>
      <x:c r="H12" s="34"/>
      <x:c r="I12" s="38"/>
      <x:c r="J12" s="40"/>
      <x:c r="K12" s="40"/>
      <x:c r="L12" s="27"/>
    </x:row>
    <x:row r="13" ht="18.75" customHeight="1">
      <x:c r="A13" s="41"/>
      <x:c r="B13" s="27"/>
      <x:c r="C13" s="34"/>
      <x:c r="D13" s="34"/>
      <x:c r="E13" s="34"/>
      <x:c r="F13" s="34"/>
      <x:c r="G13" s="34"/>
      <x:c r="H13" s="34"/>
      <x:c r="I13" s="38"/>
      <x:c r="J13" s="40"/>
      <x:c r="K13" s="40"/>
      <x:c r="L13" s="27"/>
    </x:row>
    <x:row r="14" ht="18.75" customHeight="1">
      <x:c r="A14" s="41"/>
      <x:c r="B14" s="27"/>
      <x:c r="C14" s="34"/>
      <x:c r="D14" s="34"/>
      <x:c r="E14" s="34"/>
      <x:c r="F14" s="34"/>
      <x:c r="G14" s="34"/>
      <x:c r="H14" s="34"/>
      <x:c r="I14" s="38"/>
      <x:c r="J14" s="40"/>
      <x:c r="K14" s="40"/>
      <x:c r="L14" s="27"/>
    </x:row>
    <x:row r="15" ht="18.75" customHeight="1">
      <x:c r="A15" s="41"/>
      <x:c r="B15" s="27"/>
      <x:c r="C15" s="34"/>
      <x:c r="D15" s="34"/>
      <x:c r="E15" s="34"/>
      <x:c r="F15" s="34"/>
      <x:c r="G15" s="34"/>
      <x:c r="H15" s="34"/>
      <x:c r="I15" s="38"/>
      <x:c r="J15" s="40"/>
      <x:c r="K15" s="40"/>
      <x:c r="L15" s="27"/>
    </x:row>
    <x:row r="16" ht="18.75" customHeight="1">
      <x:c r="A16" s="41"/>
      <x:c r="B16" s="27"/>
      <x:c r="C16" s="34"/>
      <x:c r="D16" s="34"/>
      <x:c r="E16" s="34"/>
      <x:c r="F16" s="34"/>
      <x:c r="G16" s="34"/>
      <x:c r="H16" s="34"/>
      <x:c r="I16" s="38"/>
      <x:c r="J16" s="40"/>
      <x:c r="K16" s="40"/>
      <x:c r="L16" s="27"/>
    </x:row>
    <x:row r="17" ht="18.75" customHeight="1">
      <x:c r="A17" s="41"/>
      <x:c r="B17" s="27"/>
      <x:c r="C17" s="34"/>
      <x:c r="D17" s="34"/>
      <x:c r="E17" s="34"/>
      <x:c r="F17" s="34"/>
      <x:c r="G17" s="34"/>
      <x:c r="H17" s="34"/>
      <x:c r="I17" s="38"/>
      <x:c r="J17" s="40"/>
      <x:c r="K17" s="40"/>
      <x:c r="L17" s="27"/>
    </x:row>
    <x:row r="18" ht="18.75" customHeight="1">
      <x:c r="A18" s="41"/>
      <x:c r="B18" s="27"/>
      <x:c r="C18" s="34"/>
      <x:c r="D18" s="34"/>
      <x:c r="E18" s="34"/>
      <x:c r="F18" s="34"/>
      <x:c r="G18" s="34"/>
      <x:c r="H18" s="34"/>
      <x:c r="I18" s="38"/>
      <x:c r="J18" s="40"/>
      <x:c r="K18" s="40"/>
      <x:c r="L18" s="27"/>
    </x:row>
    <x:row r="19" ht="18.75" customHeight="1">
      <x:c r="A19" s="41"/>
      <x:c r="B19" s="27"/>
      <x:c r="C19" s="34"/>
      <x:c r="D19" s="34"/>
      <x:c r="E19" s="34"/>
      <x:c r="F19" s="34"/>
      <x:c r="G19" s="34"/>
      <x:c r="H19" s="34"/>
      <x:c r="I19" s="38"/>
      <x:c r="J19" s="40"/>
      <x:c r="K19" s="40"/>
      <x:c r="L19" s="27"/>
    </x:row>
    <x:row r="20" ht="18.75" customHeight="1">
      <x:c r="A20" s="41"/>
      <x:c r="B20" s="27"/>
      <x:c r="C20" s="34"/>
      <x:c r="D20" s="34"/>
      <x:c r="E20" s="34"/>
      <x:c r="F20" s="34"/>
      <x:c r="G20" s="34"/>
      <x:c r="H20" s="34"/>
      <x:c r="I20" s="38"/>
      <x:c r="J20" s="40"/>
      <x:c r="K20" s="40"/>
      <x:c r="L20" s="27"/>
    </x:row>
    <x:row r="21" ht="18.75" customHeight="1">
      <x:c r="A21" s="41"/>
      <x:c r="B21" s="27"/>
      <x:c r="C21" s="34"/>
      <x:c r="D21" s="34"/>
      <x:c r="E21" s="34"/>
      <x:c r="F21" s="34"/>
      <x:c r="G21" s="34"/>
      <x:c r="H21" s="34"/>
      <x:c r="I21" s="38"/>
      <x:c r="J21" s="40"/>
      <x:c r="K21" s="40"/>
      <x:c r="L21" s="27"/>
    </x:row>
    <x:row r="22" ht="18.75" customHeight="1">
      <x:c r="A22" s="41"/>
      <x:c r="B22" s="27"/>
      <x:c r="C22" s="34"/>
      <x:c r="D22" s="34"/>
      <x:c r="E22" s="34"/>
      <x:c r="F22" s="34"/>
      <x:c r="G22" s="34"/>
      <x:c r="H22" s="34"/>
      <x:c r="I22" s="38"/>
      <x:c r="J22" s="40"/>
      <x:c r="K22" s="40"/>
      <x:c r="L22" s="27"/>
    </x:row>
    <x:row r="23" ht="18.75" customHeight="1">
      <x:c r="A23" s="41"/>
      <x:c r="B23" s="27"/>
      <x:c r="C23" s="34"/>
      <x:c r="D23" s="34"/>
      <x:c r="E23" s="34"/>
      <x:c r="F23" s="34"/>
      <x:c r="G23" s="34"/>
      <x:c r="H23" s="34"/>
      <x:c r="I23" s="38"/>
      <x:c r="J23" s="40"/>
      <x:c r="K23" s="40"/>
      <x:c r="L23" s="27"/>
    </x:row>
    <x:row r="24" ht="18.75" customHeight="1">
      <x:c r="A24" s="41"/>
      <x:c r="B24" s="27"/>
      <x:c r="C24" s="34"/>
      <x:c r="D24" s="34"/>
      <x:c r="E24" s="34"/>
      <x:c r="F24" s="34"/>
      <x:c r="G24" s="34"/>
      <x:c r="H24" s="34"/>
      <x:c r="I24" s="38"/>
      <x:c r="J24" s="40"/>
      <x:c r="K24" s="40"/>
      <x:c r="L24" s="27"/>
    </x:row>
    <x:row r="25" ht="18.75" customHeight="1">
      <x:c r="A25" s="41"/>
      <x:c r="B25" s="27"/>
      <x:c r="C25" s="34"/>
      <x:c r="D25" s="34"/>
      <x:c r="E25" s="34"/>
      <x:c r="F25" s="34"/>
      <x:c r="G25" s="34"/>
      <x:c r="H25" s="34"/>
      <x:c r="I25" s="38"/>
      <x:c r="J25" s="40"/>
      <x:c r="K25" s="40"/>
      <x:c r="L25" s="27"/>
    </x:row>
    <x:row r="26" ht="18.75" customHeight="1">
      <x:c r="A26" s="41"/>
      <x:c r="B26" s="27"/>
      <x:c r="C26" s="34"/>
      <x:c r="D26" s="34"/>
      <x:c r="E26" s="34"/>
      <x:c r="F26" s="34"/>
      <x:c r="G26" s="34"/>
      <x:c r="H26" s="34"/>
      <x:c r="I26" s="38"/>
      <x:c r="J26" s="40"/>
      <x:c r="K26" s="40"/>
      <x:c r="L26" s="27"/>
    </x:row>
    <x:row r="27" ht="18.75" customHeight="1">
      <x:c r="A27" s="41"/>
      <x:c r="B27" s="27"/>
      <x:c r="C27" s="34"/>
      <x:c r="D27" s="34"/>
      <x:c r="E27" s="34"/>
      <x:c r="F27" s="34"/>
      <x:c r="G27" s="34"/>
      <x:c r="H27" s="34"/>
      <x:c r="I27" s="38"/>
      <x:c r="J27" s="40"/>
      <x:c r="K27" s="40"/>
      <x:c r="L27" s="27"/>
    </x:row>
    <x:row r="28" ht="18.75" customHeight="1">
      <x:c r="A28" s="41"/>
      <x:c r="B28" s="27"/>
      <x:c r="C28" s="34"/>
      <x:c r="D28" s="34"/>
      <x:c r="E28" s="34"/>
      <x:c r="F28" s="34"/>
      <x:c r="G28" s="34"/>
      <x:c r="H28" s="34"/>
      <x:c r="I28" s="38"/>
      <x:c r="J28" s="40"/>
      <x:c r="K28" s="40"/>
      <x:c r="L28" s="27"/>
    </x:row>
    <x:row r="29" ht="18.75" customHeight="1">
      <x:c r="A29" s="41"/>
      <x:c r="B29" s="27"/>
      <x:c r="C29" s="34"/>
      <x:c r="D29" s="34"/>
      <x:c r="E29" s="34"/>
      <x:c r="F29" s="34"/>
      <x:c r="G29" s="34"/>
      <x:c r="H29" s="34"/>
      <x:c r="I29" s="38"/>
      <x:c r="J29" s="40"/>
      <x:c r="K29" s="40"/>
      <x:c r="L29" s="27"/>
    </x:row>
    <x:row r="30" ht="18.75" customHeight="1">
      <x:c r="A30" s="41"/>
      <x:c r="B30" s="27"/>
      <x:c r="C30" s="34"/>
      <x:c r="D30" s="34"/>
      <x:c r="E30" s="34"/>
      <x:c r="F30" s="34"/>
      <x:c r="G30" s="34"/>
      <x:c r="H30" s="34"/>
      <x:c r="I30" s="38"/>
      <x:c r="J30" s="40"/>
      <x:c r="K30" s="40"/>
      <x:c r="L30" s="27"/>
    </x:row>
    <x:row r="31" ht="18.75" customHeight="1">
      <x:c r="A31" s="41"/>
      <x:c r="B31" s="27"/>
      <x:c r="C31" s="34"/>
      <x:c r="D31" s="34"/>
      <x:c r="E31" s="34"/>
      <x:c r="F31" s="34"/>
      <x:c r="G31" s="34"/>
      <x:c r="H31" s="34"/>
      <x:c r="I31" s="38"/>
      <x:c r="J31" s="40"/>
      <x:c r="K31" s="40"/>
      <x:c r="L31" s="27"/>
    </x:row>
    <x:row r="32" ht="18.75" customHeight="1">
      <x:c r="A32" s="41"/>
      <x:c r="B32" s="27"/>
      <x:c r="C32" s="34"/>
      <x:c r="D32" s="34"/>
      <x:c r="E32" s="34"/>
      <x:c r="F32" s="34"/>
      <x:c r="G32" s="34"/>
      <x:c r="H32" s="34"/>
      <x:c r="I32" s="38"/>
      <x:c r="J32" s="40"/>
      <x:c r="K32" s="40"/>
      <x:c r="L32" s="27"/>
    </x:row>
    <x:row r="33" ht="18.75" customHeight="1">
      <x:c r="A33" s="41"/>
      <x:c r="B33" s="27"/>
      <x:c r="C33" s="34"/>
      <x:c r="D33" s="34"/>
      <x:c r="E33" s="34"/>
      <x:c r="F33" s="34"/>
      <x:c r="G33" s="34"/>
      <x:c r="H33" s="34"/>
      <x:c r="I33" s="38"/>
      <x:c r="J33" s="40"/>
      <x:c r="K33" s="40"/>
      <x:c r="L33" s="27"/>
    </x:row>
    <x:row r="34" ht="18.75" customHeight="1">
      <x:c r="A34" s="41"/>
      <x:c r="B34" s="27"/>
      <x:c r="C34" s="34"/>
      <x:c r="D34" s="34"/>
      <x:c r="E34" s="34"/>
      <x:c r="F34" s="34"/>
      <x:c r="G34" s="34"/>
      <x:c r="H34" s="34"/>
      <x:c r="I34" s="38"/>
      <x:c r="J34" s="40"/>
      <x:c r="K34" s="40"/>
      <x:c r="L34" s="27"/>
    </x:row>
    <x:row r="35" ht="18.75" customHeight="1">
      <x:c r="A35" s="41"/>
      <x:c r="B35" s="27"/>
      <x:c r="C35" s="34"/>
      <x:c r="D35" s="34"/>
      <x:c r="E35" s="34"/>
      <x:c r="F35" s="34"/>
      <x:c r="G35" s="34"/>
      <x:c r="H35" s="34"/>
      <x:c r="I35" s="38"/>
      <x:c r="J35" s="40"/>
      <x:c r="K35" s="40"/>
      <x:c r="L35" s="27"/>
    </x:row>
    <x:row r="36" ht="18.75" customHeight="1">
      <x:c r="A36" s="41"/>
      <x:c r="B36" s="27"/>
      <x:c r="C36" s="34"/>
      <x:c r="D36" s="34"/>
      <x:c r="E36" s="34"/>
      <x:c r="F36" s="34"/>
      <x:c r="G36" s="34"/>
      <x:c r="H36" s="34"/>
      <x:c r="I36" s="38"/>
      <x:c r="J36" s="40"/>
      <x:c r="K36" s="40"/>
      <x:c r="L36" s="27"/>
    </x:row>
    <x:row r="37" ht="18.75" customHeight="1">
      <x:c r="A37" s="41"/>
      <x:c r="B37" s="27"/>
      <x:c r="C37" s="34"/>
      <x:c r="D37" s="34"/>
      <x:c r="E37" s="34"/>
      <x:c r="F37" s="34"/>
      <x:c r="G37" s="34"/>
      <x:c r="H37" s="34"/>
      <x:c r="I37" s="38"/>
      <x:c r="J37" s="40"/>
      <x:c r="K37" s="40"/>
      <x:c r="L37" s="27"/>
    </x:row>
    <x:row r="38" ht="18.75" customHeight="1">
      <x:c r="A38" s="41"/>
      <x:c r="B38" s="27"/>
      <x:c r="C38" s="34"/>
      <x:c r="D38" s="34"/>
      <x:c r="E38" s="34"/>
      <x:c r="F38" s="34"/>
      <x:c r="G38" s="34"/>
      <x:c r="H38" s="34"/>
      <x:c r="I38" s="38"/>
      <x:c r="J38" s="40"/>
      <x:c r="K38" s="40"/>
      <x:c r="L38" s="27"/>
    </x:row>
    <x:row r="39" ht="18.75" customHeight="1">
      <x:c r="A39" s="41"/>
      <x:c r="B39" s="27"/>
      <x:c r="C39" s="34"/>
      <x:c r="D39" s="34"/>
      <x:c r="E39" s="34"/>
      <x:c r="F39" s="34"/>
      <x:c r="G39" s="34"/>
      <x:c r="H39" s="34"/>
      <x:c r="I39" s="38"/>
      <x:c r="J39" s="40"/>
      <x:c r="K39" s="40"/>
      <x:c r="L39" s="27"/>
    </x:row>
    <x:row r="40" ht="18.75" customHeight="1">
      <x:c r="A40" s="41"/>
      <x:c r="B40" s="27"/>
      <x:c r="C40" s="34"/>
      <x:c r="D40" s="34"/>
      <x:c r="E40" s="34"/>
      <x:c r="F40" s="34"/>
      <x:c r="G40" s="34"/>
      <x:c r="H40" s="34"/>
      <x:c r="I40" s="38"/>
      <x:c r="J40" s="40"/>
      <x:c r="K40" s="40"/>
      <x:c r="L40" s="27"/>
    </x:row>
    <x:row r="41" ht="18.75" customHeight="1">
      <x:c r="A41" s="41"/>
      <x:c r="B41" s="27"/>
      <x:c r="C41" s="34"/>
      <x:c r="D41" s="34"/>
      <x:c r="E41" s="34"/>
      <x:c r="F41" s="34"/>
      <x:c r="G41" s="34"/>
      <x:c r="H41" s="34"/>
      <x:c r="I41" s="38"/>
      <x:c r="J41" s="40"/>
      <x:c r="K41" s="40"/>
      <x:c r="L41" s="27"/>
    </x:row>
    <x:row r="42" ht="18.75" customHeight="1">
      <x:c r="A42" s="41"/>
      <x:c r="B42" s="27"/>
      <x:c r="C42" s="34"/>
      <x:c r="D42" s="34"/>
      <x:c r="E42" s="34"/>
      <x:c r="F42" s="34"/>
      <x:c r="G42" s="34"/>
      <x:c r="H42" s="34"/>
      <x:c r="I42" s="38"/>
      <x:c r="J42" s="40"/>
      <x:c r="K42" s="40"/>
      <x:c r="L42" s="27"/>
    </x:row>
    <x:row r="43" ht="18.75" customHeight="1">
      <x:c r="A43" s="41"/>
      <x:c r="B43" s="27"/>
      <x:c r="C43" s="34"/>
      <x:c r="D43" s="34"/>
      <x:c r="E43" s="34"/>
      <x:c r="F43" s="34"/>
      <x:c r="G43" s="34"/>
      <x:c r="H43" s="34"/>
      <x:c r="I43" s="38"/>
      <x:c r="J43" s="40"/>
      <x:c r="K43" s="40"/>
      <x:c r="L43" s="27"/>
    </x:row>
    <x:row r="44" ht="18.75" customHeight="1">
      <x:c r="A44" s="41"/>
      <x:c r="B44" s="27"/>
      <x:c r="C44" s="34"/>
      <x:c r="D44" s="34"/>
      <x:c r="E44" s="34"/>
      <x:c r="F44" s="34"/>
      <x:c r="G44" s="34"/>
      <x:c r="H44" s="34"/>
      <x:c r="I44" s="38"/>
      <x:c r="J44" s="40"/>
      <x:c r="K44" s="40"/>
      <x:c r="L44" s="27"/>
    </x:row>
    <x:row r="45" ht="18.75" customHeight="1">
      <x:c r="A45" s="41"/>
      <x:c r="B45" s="27"/>
      <x:c r="C45" s="34"/>
      <x:c r="D45" s="34"/>
      <x:c r="E45" s="34"/>
      <x:c r="F45" s="34"/>
      <x:c r="G45" s="34"/>
      <x:c r="H45" s="34"/>
      <x:c r="I45" s="38"/>
      <x:c r="J45" s="40"/>
      <x:c r="K45" s="40"/>
      <x:c r="L45" s="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34.439998626708984" hidden="0" customWidth="1"/>
    <x:col min="4" max="4" width="12.220000267028809" hidden="0" customWidth="1"/>
    <x:col min="5" max="5" width="11.109999656677246" hidden="0" customWidth="1"/>
    <x:col min="6" max="6" width="12.4399995803833" hidden="0" customWidth="1"/>
    <x:col min="7" max="7" width="33.33000183105469" hidden="0" customWidth="1"/>
  </x:cols>
  <x:sheetData>
    <x:row r="1" ht="25.5" customHeight="1">
      <x:c r="A1" s="4" t="str">
        <x:v>보고서 목록</x:v>
      </x:c>
      <x:c r="B1" s="4" t="str"/>
      <x:c r="C1" s="4" t="str"/>
      <x:c r="D1" s="4" t="str"/>
      <x:c r="E1" s="4" t="str"/>
      <x:c r="F1" s="4" t="str"/>
      <x:c r="G1" s="4" t="str"/>
    </x:row>
    <x:row r="3">
      <x:c r="A3" s="13" t="str">
        <x:v>운영팀이 공개할 보고서 파일명이나 링크를 정리합니다.</x:v>
      </x:c>
      <x:c r="B3" s="14" t="str"/>
      <x:c r="C3" s="14" t="str"/>
      <x:c r="D3" s="14" t="str"/>
      <x:c r="E3" s="14" t="str"/>
      <x:c r="F3" s="14" t="str"/>
      <x:c r="G3" s="15" t="str"/>
    </x:row>
    <x:row r="5" ht="19.5" customHeight="1">
      <x:c r="A5" s="26" t="str">
        <x:v>보고서유형</x:v>
      </x:c>
      <x:c r="B5" s="26" t="str">
        <x:v>기준기간</x:v>
      </x:c>
      <x:c r="C5" s="26" t="str">
        <x:v>파일명/링크</x:v>
      </x:c>
      <x:c r="D5" s="26" t="str">
        <x:v>공개상태</x:v>
      </x:c>
      <x:c r="E5" s="26" t="str">
        <x:v>작성자</x:v>
      </x:c>
      <x:c r="F5" s="26" t="str">
        <x:v>업데이트일</x:v>
      </x:c>
      <x:c r="G5" s="26" t="str">
        <x:v>메모</x:v>
      </x:c>
    </x:row>
    <x:row r="6" ht="19.5" customHeight="1">
      <x:c r="A6" s="27" t="str">
        <x:v>주간 보고서</x:v>
      </x:c>
      <x:c r="B6" s="27" t="str">
        <x:v>2026-06 4주차</x:v>
      </x:c>
      <x:c r="C6" s="27" t="str">
        <x:v>moment-weekly-202606-4.pdf</x:v>
      </x:c>
      <x:c r="D6" s="27" t="str">
        <x:v>공개 가능</x:v>
      </x:c>
      <x:c r="E6" s="27" t="str">
        <x:v>운영팀</x:v>
      </x:c>
      <x:c r="F6" s="27" t="str">
        <x:v>2026-06-27</x:v>
      </x:c>
      <x:c r="G6" s="27" t="str">
        <x:v>내부 메모 제거 후 공개</x:v>
      </x:c>
    </x:row>
    <x:row r="7" ht="19.5" customHeight="1">
      <x:c r="A7" s="27" t="str">
        <x:v>월간 보고서</x:v>
      </x:c>
      <x:c r="B7" s="27" t="str">
        <x:v>2026-06</x:v>
      </x:c>
      <x:c r="C7" s="27" t="str">
        <x:v>moment-monthly-202606.pdf</x:v>
      </x:c>
      <x:c r="D7" s="27" t="str">
        <x:v>검수 중</x:v>
      </x:c>
      <x:c r="E7" s="27" t="str">
        <x:v>운영팀</x:v>
      </x:c>
      <x:c r="F7" s="27" t="str">
        <x:v>2026-06-27</x:v>
      </x:c>
      <x:c r="G7" s="27" t="str">
        <x:v>매출 수치 재확인</x:v>
      </x:c>
    </x:row>
    <x:row r="8" ht="19.5" customHeight="1">
      <x:c r="A8" s="27" t="str">
        <x:v>KPI 보고서</x:v>
      </x:c>
      <x:c r="B8" s="27" t="str">
        <x:v>2026-06</x:v>
      </x:c>
      <x:c r="C8" s="27" t="str">
        <x:v>moment-kpi-202606.xlsx</x:v>
      </x:c>
      <x:c r="D8" s="27" t="str">
        <x:v>공개 가능</x:v>
      </x:c>
      <x:c r="E8" s="27" t="str">
        <x:v>운영팀</x:v>
      </x:c>
      <x:c r="F8" s="27" t="str">
        <x:v>2026-06-27</x:v>
      </x:c>
      <x:c r="G8" s="27" t="str">
        <x:v>목표달성률 포함</x:v>
      </x:c>
    </x:row>
    <x:row r="9" ht="19.5" customHeight="1">
      <x:c r="A9" s="27" t="str"/>
      <x:c r="B9" s="27" t="str"/>
      <x:c r="C9" s="27" t="str"/>
      <x:c r="D9" s="27" t="str"/>
      <x:c r="E9" s="27" t="str"/>
      <x:c r="F9" s="27" t="str"/>
      <x:c r="G9" s="27" t="str"/>
    </x:row>
    <x:row r="10" ht="19.5" customHeight="1">
      <x:c r="A10" s="27"/>
      <x:c r="B10" s="27"/>
      <x:c r="C10" s="27"/>
      <x:c r="D10" s="27"/>
      <x:c r="E10" s="27"/>
      <x:c r="F10" s="27"/>
      <x:c r="G10" s="27"/>
    </x:row>
    <x:row r="11" ht="19.5" customHeight="1">
      <x:c r="A11" s="27"/>
      <x:c r="B11" s="27"/>
      <x:c r="C11" s="27"/>
      <x:c r="D11" s="27"/>
      <x:c r="E11" s="27"/>
      <x:c r="F11" s="27"/>
      <x:c r="G11" s="27"/>
    </x:row>
    <x:row r="12" ht="19.5" customHeight="1">
      <x:c r="A12" s="27"/>
      <x:c r="B12" s="27"/>
      <x:c r="C12" s="27"/>
      <x:c r="D12" s="27"/>
      <x:c r="E12" s="27"/>
      <x:c r="F12" s="27"/>
      <x:c r="G12" s="27"/>
    </x:row>
    <x:row r="13" ht="19.5" customHeight="1">
      <x:c r="A13" s="27"/>
      <x:c r="B13" s="27"/>
      <x:c r="C13" s="27"/>
      <x:c r="D13" s="27"/>
      <x:c r="E13" s="27"/>
      <x:c r="F13" s="27"/>
      <x:c r="G13" s="27"/>
    </x:row>
    <x:row r="14" ht="19.5" customHeight="1">
      <x:c r="A14" s="27"/>
      <x:c r="B14" s="27"/>
      <x:c r="C14" s="27"/>
      <x:c r="D14" s="27"/>
      <x:c r="E14" s="27"/>
      <x:c r="F14" s="27"/>
      <x:c r="G14" s="27"/>
    </x:row>
    <x:row r="15" ht="19.5" customHeight="1">
      <x:c r="A15" s="27"/>
      <x:c r="B15" s="27"/>
      <x:c r="C15" s="27"/>
      <x:c r="D15" s="27"/>
      <x:c r="E15" s="27"/>
      <x:c r="F15" s="27"/>
      <x:c r="G15" s="27"/>
    </x:row>
    <x:row r="16" ht="19.5" customHeight="1">
      <x:c r="A16" s="27"/>
      <x:c r="B16" s="27"/>
      <x:c r="C16" s="27"/>
      <x:c r="D16" s="27"/>
      <x:c r="E16" s="27"/>
      <x:c r="F16" s="27"/>
      <x:c r="G16" s="27"/>
    </x:row>
    <x:row r="17" ht="19.5" customHeight="1">
      <x:c r="A17" s="27"/>
      <x:c r="B17" s="27"/>
      <x:c r="C17" s="27"/>
      <x:c r="D17" s="27"/>
      <x:c r="E17" s="27"/>
      <x:c r="F17" s="27"/>
      <x:c r="G17" s="27"/>
    </x:row>
    <x:row r="18" ht="19.5" customHeight="1">
      <x:c r="A18" s="27"/>
      <x:c r="B18" s="27"/>
      <x:c r="C18" s="27"/>
      <x:c r="D18" s="27"/>
      <x:c r="E18" s="27"/>
      <x:c r="F18" s="27"/>
      <x:c r="G18" s="27"/>
    </x:row>
    <x:row r="19" ht="19.5" customHeight="1">
      <x:c r="A19" s="27"/>
      <x:c r="B19" s="27"/>
      <x:c r="C19" s="27"/>
      <x:c r="D19" s="27"/>
      <x:c r="E19" s="27"/>
      <x:c r="F19" s="27"/>
      <x:c r="G19" s="27"/>
    </x:row>
    <x:row r="20" ht="19.5" customHeight="1">
      <x:c r="A20" s="27"/>
      <x:c r="B20" s="27"/>
      <x:c r="C20" s="27"/>
      <x:c r="D20" s="27"/>
      <x:c r="E20" s="27"/>
      <x:c r="F20" s="27"/>
      <x:c r="G20" s="27"/>
    </x:row>
    <x:row r="21" ht="19.5" customHeight="1">
      <x:c r="A21" s="27"/>
      <x:c r="B21" s="27"/>
      <x:c r="C21" s="27"/>
      <x:c r="D21" s="27"/>
      <x:c r="E21" s="27"/>
      <x:c r="F21" s="27"/>
      <x:c r="G21" s="27"/>
    </x:row>
    <x:row r="22" ht="19.5" customHeight="1">
      <x:c r="A22" s="27"/>
      <x:c r="B22" s="27"/>
      <x:c r="C22" s="27"/>
      <x:c r="D22" s="27"/>
      <x:c r="E22" s="27"/>
      <x:c r="F22" s="27"/>
      <x:c r="G22" s="27"/>
    </x:row>
    <x:row r="23" ht="19.5" customHeight="1">
      <x:c r="A23" s="27"/>
      <x:c r="B23" s="27"/>
      <x:c r="C23" s="27"/>
      <x:c r="D23" s="27"/>
      <x:c r="E23" s="27"/>
      <x:c r="F23" s="27"/>
      <x:c r="G23" s="27"/>
    </x:row>
    <x:row r="24" ht="19.5" customHeight="1">
      <x:c r="A24" s="27"/>
      <x:c r="B24" s="27"/>
      <x:c r="C24" s="27"/>
      <x:c r="D24" s="27"/>
      <x:c r="E24" s="27"/>
      <x:c r="F24" s="27"/>
      <x:c r="G24" s="27"/>
    </x:row>
    <x:row r="25" ht="19.5" customHeight="1">
      <x:c r="A25" s="27"/>
      <x:c r="B25" s="27"/>
      <x:c r="C25" s="27"/>
      <x:c r="D25" s="27"/>
      <x:c r="E25" s="27"/>
      <x:c r="F25" s="27"/>
      <x:c r="G25" s="27"/>
    </x:row>
    <x:row r="26" ht="19.5" customHeight="1">
      <x:c r="A26" s="27"/>
      <x:c r="B26" s="27"/>
      <x:c r="C26" s="27"/>
      <x:c r="D26" s="27"/>
      <x:c r="E26" s="27"/>
      <x:c r="F26" s="27"/>
      <x:c r="G26" s="27"/>
    </x:row>
    <x:row r="27" ht="19.5" customHeight="1">
      <x:c r="A27" s="27"/>
      <x:c r="B27" s="27"/>
      <x:c r="C27" s="27"/>
      <x:c r="D27" s="27"/>
      <x:c r="E27" s="27"/>
      <x:c r="F27" s="27"/>
      <x:c r="G27" s="27"/>
    </x:row>
    <x:row r="28" ht="19.5" customHeight="1">
      <x:c r="A28" s="27"/>
      <x:c r="B28" s="27"/>
      <x:c r="C28" s="27"/>
      <x:c r="D28" s="27"/>
      <x:c r="E28" s="27"/>
      <x:c r="F28" s="27"/>
      <x:c r="G28" s="27"/>
    </x:row>
    <x:row r="29" ht="19.5" customHeight="1">
      <x:c r="A29" s="27"/>
      <x:c r="B29" s="27"/>
      <x:c r="C29" s="27"/>
      <x:c r="D29" s="27"/>
      <x:c r="E29" s="27"/>
      <x:c r="F29" s="27"/>
      <x:c r="G29" s="27"/>
    </x:row>
    <x:row r="30" ht="19.5" customHeight="1">
      <x:c r="A30" s="27"/>
      <x:c r="B30" s="27"/>
      <x:c r="C30" s="27"/>
      <x:c r="D30" s="27"/>
      <x:c r="E30" s="27"/>
      <x:c r="F30" s="27"/>
      <x:c r="G30" s="27"/>
    </x:row>
    <x:row r="31" ht="19.5" customHeight="1">
      <x:c r="A31" s="27"/>
      <x:c r="B31" s="27"/>
      <x:c r="C31" s="27"/>
      <x:c r="D31" s="27"/>
      <x:c r="E31" s="27"/>
      <x:c r="F31" s="27"/>
      <x:c r="G31" s="27"/>
    </x:row>
    <x:row r="32" ht="19.5" customHeight="1">
      <x:c r="A32" s="27"/>
      <x:c r="B32" s="27"/>
      <x:c r="C32" s="27"/>
      <x:c r="D32" s="27"/>
      <x:c r="E32" s="27"/>
      <x:c r="F32" s="27"/>
      <x:c r="G32" s="27"/>
    </x:row>
    <x:row r="33" ht="19.5" customHeight="1">
      <x:c r="A33" s="27"/>
      <x:c r="B33" s="27"/>
      <x:c r="C33" s="27"/>
      <x:c r="D33" s="27"/>
      <x:c r="E33" s="27"/>
      <x:c r="F33" s="27"/>
      <x:c r="G33" s="27"/>
    </x:row>
    <x:row r="34" ht="19.5" customHeight="1">
      <x:c r="A34" s="27"/>
      <x:c r="B34" s="27"/>
      <x:c r="C34" s="27"/>
      <x:c r="D34" s="27"/>
      <x:c r="E34" s="27"/>
      <x:c r="F34" s="27"/>
      <x:c r="G34" s="27"/>
    </x:row>
    <x:row r="35" ht="19.5" customHeight="1">
      <x:c r="A35" s="27"/>
      <x:c r="B35" s="27"/>
      <x:c r="C35" s="27"/>
      <x:c r="D35" s="27"/>
      <x:c r="E35" s="27"/>
      <x:c r="F35" s="27"/>
      <x:c r="G35" s="27"/>
    </x:row>
    <x:row r="36" ht="19.5" customHeight="1">
      <x:c r="A36" s="27"/>
      <x:c r="B36" s="27"/>
      <x:c r="C36" s="27"/>
      <x:c r="D36" s="27"/>
      <x:c r="E36" s="27"/>
      <x:c r="F36" s="27"/>
      <x:c r="G36" s="27"/>
    </x:row>
    <x:row r="37" ht="19.5" customHeight="1">
      <x:c r="A37" s="27"/>
      <x:c r="B37" s="27"/>
      <x:c r="C37" s="27"/>
      <x:c r="D37" s="27"/>
      <x:c r="E37" s="27"/>
      <x:c r="F37" s="27"/>
      <x:c r="G37" s="27"/>
    </x:row>
    <x:row r="38" ht="19.5" customHeight="1">
      <x:c r="A38" s="27"/>
      <x:c r="B38" s="27"/>
      <x:c r="C38" s="27"/>
      <x:c r="D38" s="27"/>
      <x:c r="E38" s="27"/>
      <x:c r="F38" s="27"/>
      <x:c r="G38" s="27"/>
    </x:row>
    <x:row r="39" ht="19.5" customHeight="1">
      <x:c r="A39" s="27"/>
      <x:c r="B39" s="27"/>
      <x:c r="C39" s="27"/>
      <x:c r="D39" s="27"/>
      <x:c r="E39" s="27"/>
      <x:c r="F39" s="27"/>
      <x:c r="G39" s="27"/>
    </x:row>
    <x:row r="40" ht="19.5" customHeight="1">
      <x:c r="A40" s="27"/>
      <x:c r="B40" s="27"/>
      <x:c r="C40" s="27"/>
      <x:c r="D40" s="27"/>
      <x:c r="E40" s="27"/>
      <x:c r="F40" s="27"/>
      <x:c r="G40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1.110000610351562" hidden="0" customWidth="1"/>
    <x:col min="4" max="4" width="36.66999816894531" hidden="0" customWidth="1"/>
    <x:col min="5" max="5" width="11.109999656677246" hidden="0" customWidth="1"/>
    <x:col min="6" max="6" width="9.5600004196167" hidden="0" customWidth="1"/>
    <x:col min="7" max="7" width="12.220000267028809" hidden="0" customWidth="1"/>
    <x:col min="8" max="8" width="30" hidden="0" customWidth="1"/>
  </x:cols>
  <x:sheetData>
    <x:row r="1" ht="25.5" customHeight="1">
      <x:c r="A1" s="4" t="str">
        <x:v>일정표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3" t="str">
        <x:v>광고주와 공유할 일정만 정리합니다. 내부 할 일은 메모에 구분해서 작성합니다.</x:v>
      </x:c>
      <x:c r="B3" s="14" t="str"/>
      <x:c r="C3" s="14" t="str"/>
      <x:c r="D3" s="14" t="str"/>
      <x:c r="E3" s="14" t="str"/>
      <x:c r="F3" s="14" t="str"/>
      <x:c r="G3" s="14" t="str"/>
      <x:c r="H3" s="15" t="str"/>
    </x:row>
    <x:row r="5" ht="19.5" customHeight="1">
      <x:c r="A5" s="26" t="str">
        <x:v>일자</x:v>
      </x:c>
      <x:c r="B5" s="26" t="str">
        <x:v>유형</x:v>
      </x:c>
      <x:c r="C5" s="26" t="str">
        <x:v>제목</x:v>
      </x:c>
      <x:c r="D5" s="26" t="str">
        <x:v>상세</x:v>
      </x:c>
      <x:c r="E5" s="26" t="str">
        <x:v>상태</x:v>
      </x:c>
      <x:c r="F5" s="26" t="str">
        <x:v>공개여부</x:v>
      </x:c>
      <x:c r="G5" s="26" t="str">
        <x:v>담당자</x:v>
      </x:c>
      <x:c r="H5" s="26" t="str">
        <x:v>메모</x:v>
      </x:c>
    </x:row>
    <x:row r="6" ht="19.5" customHeight="1">
      <x:c r="A6" s="27" t="str">
        <x:v>2026-06-28</x:v>
      </x:c>
      <x:c r="B6" s="27" t="str">
        <x:v>보고서</x:v>
      </x:c>
      <x:c r="C6" s="27" t="str">
        <x:v>월간 보고서 공개</x:v>
      </x:c>
      <x:c r="D6" s="27" t="str">
        <x:v>운영팀 검수 후 보고서함 공개</x:v>
      </x:c>
      <x:c r="E6" s="27" t="str">
        <x:v>예정</x:v>
      </x:c>
      <x:c r="F6" s="27" t="str">
        <x:v>Y</x:v>
      </x:c>
      <x:c r="G6" s="27" t="str">
        <x:v>운영팀</x:v>
      </x:c>
      <x:c r="H6" s="27" t="str">
        <x:v>공개 전 수치 확인</x:v>
      </x:c>
    </x:row>
    <x:row r="7" ht="19.5" customHeight="1">
      <x:c r="A7" s="27" t="str">
        <x:v>2026-06-29</x:v>
      </x:c>
      <x:c r="B7" s="27" t="str">
        <x:v>소재</x:v>
      </x:c>
      <x:c r="C7" s="27" t="str">
        <x:v>메타 소재 교체</x:v>
      </x:c>
      <x:c r="D7" s="27" t="str">
        <x:v>기존 소재 피로도 반영</x:v>
      </x:c>
      <x:c r="E7" s="27" t="str">
        <x:v>진행 중</x:v>
      </x:c>
      <x:c r="F7" s="27" t="str">
        <x:v>Y</x:v>
      </x:c>
      <x:c r="G7" s="27" t="str">
        <x:v>디자인</x:v>
      </x:c>
      <x:c r="H7" s="27" t="str">
        <x:v>광고주 확인 필요</x:v>
      </x:c>
    </x:row>
    <x:row r="8" ht="19.5" customHeight="1">
      <x:c r="A8" s="27" t="str">
        <x:v>2026-06-30</x:v>
      </x:c>
      <x:c r="B8" s="27" t="str">
        <x:v>키워드</x:v>
      </x:c>
      <x:c r="C8" s="27" t="str">
        <x:v>쿠팡 키워드 보강</x:v>
      </x:c>
      <x:c r="D8" s="27" t="str">
        <x:v>상품명과 검색어 반영</x:v>
      </x:c>
      <x:c r="E8" s="27" t="str">
        <x:v>예정</x:v>
      </x:c>
      <x:c r="F8" s="27" t="str">
        <x:v>Y</x:v>
      </x:c>
      <x:c r="G8" s="27" t="str">
        <x:v>분석</x:v>
      </x:c>
      <x:c r="H8" s="27" t="str">
        <x:v>20개 확장</x:v>
      </x:c>
    </x:row>
    <x:row r="9" ht="19.5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</x:row>
    <x:row r="10" ht="19.5" customHeight="1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 ht="19.5" customHeight="1">
      <x:c r="A11" s="27"/>
      <x:c r="B11" s="27"/>
      <x:c r="C11" s="27"/>
      <x:c r="D11" s="27"/>
      <x:c r="E11" s="27"/>
      <x:c r="F11" s="27"/>
      <x:c r="G11" s="27"/>
      <x:c r="H11" s="27"/>
    </x:row>
    <x:row r="12" ht="19.5" customHeight="1">
      <x:c r="A12" s="27"/>
      <x:c r="B12" s="27"/>
      <x:c r="C12" s="27"/>
      <x:c r="D12" s="27"/>
      <x:c r="E12" s="27"/>
      <x:c r="F12" s="27"/>
      <x:c r="G12" s="27"/>
      <x:c r="H12" s="27"/>
    </x:row>
    <x:row r="13" ht="19.5" customHeight="1">
      <x:c r="A13" s="27"/>
      <x:c r="B13" s="27"/>
      <x:c r="C13" s="27"/>
      <x:c r="D13" s="27"/>
      <x:c r="E13" s="27"/>
      <x:c r="F13" s="27"/>
      <x:c r="G13" s="27"/>
      <x:c r="H13" s="27"/>
    </x:row>
    <x:row r="14" ht="19.5" customHeight="1">
      <x:c r="A14" s="27"/>
      <x:c r="B14" s="27"/>
      <x:c r="C14" s="27"/>
      <x:c r="D14" s="27"/>
      <x:c r="E14" s="27"/>
      <x:c r="F14" s="27"/>
      <x:c r="G14" s="27"/>
      <x:c r="H14" s="27"/>
    </x:row>
    <x:row r="15" ht="19.5" customHeight="1">
      <x:c r="A15" s="27"/>
      <x:c r="B15" s="27"/>
      <x:c r="C15" s="27"/>
      <x:c r="D15" s="27"/>
      <x:c r="E15" s="27"/>
      <x:c r="F15" s="27"/>
      <x:c r="G15" s="27"/>
      <x:c r="H15" s="27"/>
    </x:row>
    <x:row r="16" ht="19.5" customHeight="1">
      <x:c r="A16" s="27"/>
      <x:c r="B16" s="27"/>
      <x:c r="C16" s="27"/>
      <x:c r="D16" s="27"/>
      <x:c r="E16" s="27"/>
      <x:c r="F16" s="27"/>
      <x:c r="G16" s="27"/>
      <x:c r="H16" s="27"/>
    </x:row>
    <x:row r="17" ht="19.5" customHeight="1">
      <x:c r="A17" s="27"/>
      <x:c r="B17" s="27"/>
      <x:c r="C17" s="27"/>
      <x:c r="D17" s="27"/>
      <x:c r="E17" s="27"/>
      <x:c r="F17" s="27"/>
      <x:c r="G17" s="27"/>
      <x:c r="H17" s="27"/>
    </x:row>
    <x:row r="18" ht="19.5" customHeight="1">
      <x:c r="A18" s="27"/>
      <x:c r="B18" s="27"/>
      <x:c r="C18" s="27"/>
      <x:c r="D18" s="27"/>
      <x:c r="E18" s="27"/>
      <x:c r="F18" s="27"/>
      <x:c r="G18" s="27"/>
      <x:c r="H18" s="27"/>
    </x:row>
    <x:row r="19" ht="19.5" customHeight="1">
      <x:c r="A19" s="27"/>
      <x:c r="B19" s="27"/>
      <x:c r="C19" s="27"/>
      <x:c r="D19" s="27"/>
      <x:c r="E19" s="27"/>
      <x:c r="F19" s="27"/>
      <x:c r="G19" s="27"/>
      <x:c r="H19" s="27"/>
    </x:row>
    <x:row r="20" ht="19.5" customHeight="1">
      <x:c r="A20" s="27"/>
      <x:c r="B20" s="27"/>
      <x:c r="C20" s="27"/>
      <x:c r="D20" s="27"/>
      <x:c r="E20" s="27"/>
      <x:c r="F20" s="27"/>
      <x:c r="G20" s="27"/>
      <x:c r="H20" s="27"/>
    </x:row>
    <x:row r="21" ht="19.5" customHeight="1">
      <x:c r="A21" s="27"/>
      <x:c r="B21" s="27"/>
      <x:c r="C21" s="27"/>
      <x:c r="D21" s="27"/>
      <x:c r="E21" s="27"/>
      <x:c r="F21" s="27"/>
      <x:c r="G21" s="27"/>
      <x:c r="H21" s="27"/>
    </x:row>
    <x:row r="22" ht="19.5" customHeight="1">
      <x:c r="A22" s="27"/>
      <x:c r="B22" s="27"/>
      <x:c r="C22" s="27"/>
      <x:c r="D22" s="27"/>
      <x:c r="E22" s="27"/>
      <x:c r="F22" s="27"/>
      <x:c r="G22" s="27"/>
      <x:c r="H22" s="27"/>
    </x:row>
    <x:row r="23" ht="19.5" customHeight="1">
      <x:c r="A23" s="27"/>
      <x:c r="B23" s="27"/>
      <x:c r="C23" s="27"/>
      <x:c r="D23" s="27"/>
      <x:c r="E23" s="27"/>
      <x:c r="F23" s="27"/>
      <x:c r="G23" s="27"/>
      <x:c r="H23" s="27"/>
    </x:row>
    <x:row r="24" ht="19.5" customHeight="1">
      <x:c r="A24" s="27"/>
      <x:c r="B24" s="27"/>
      <x:c r="C24" s="27"/>
      <x:c r="D24" s="27"/>
      <x:c r="E24" s="27"/>
      <x:c r="F24" s="27"/>
      <x:c r="G24" s="27"/>
      <x:c r="H24" s="27"/>
    </x:row>
    <x:row r="25" ht="19.5" customHeight="1">
      <x:c r="A25" s="27"/>
      <x:c r="B25" s="27"/>
      <x:c r="C25" s="27"/>
      <x:c r="D25" s="27"/>
      <x:c r="E25" s="27"/>
      <x:c r="F25" s="27"/>
      <x:c r="G25" s="27"/>
      <x:c r="H25" s="27"/>
    </x:row>
    <x:row r="26" ht="19.5" customHeight="1">
      <x:c r="A26" s="27"/>
      <x:c r="B26" s="27"/>
      <x:c r="C26" s="27"/>
      <x:c r="D26" s="27"/>
      <x:c r="E26" s="27"/>
      <x:c r="F26" s="27"/>
      <x:c r="G26" s="27"/>
      <x:c r="H26" s="27"/>
    </x:row>
    <x:row r="27" ht="19.5" customHeight="1">
      <x:c r="A27" s="27"/>
      <x:c r="B27" s="27"/>
      <x:c r="C27" s="27"/>
      <x:c r="D27" s="27"/>
      <x:c r="E27" s="27"/>
      <x:c r="F27" s="27"/>
      <x:c r="G27" s="27"/>
      <x:c r="H27" s="27"/>
    </x:row>
    <x:row r="28" ht="19.5" customHeight="1">
      <x:c r="A28" s="27"/>
      <x:c r="B28" s="27"/>
      <x:c r="C28" s="27"/>
      <x:c r="D28" s="27"/>
      <x:c r="E28" s="27"/>
      <x:c r="F28" s="27"/>
      <x:c r="G28" s="27"/>
      <x:c r="H28" s="27"/>
    </x:row>
    <x:row r="29" ht="19.5" customHeight="1">
      <x:c r="A29" s="27"/>
      <x:c r="B29" s="27"/>
      <x:c r="C29" s="27"/>
      <x:c r="D29" s="27"/>
      <x:c r="E29" s="27"/>
      <x:c r="F29" s="27"/>
      <x:c r="G29" s="27"/>
      <x:c r="H29" s="27"/>
    </x:row>
    <x:row r="30" ht="19.5" customHeight="1">
      <x:c r="A30" s="27"/>
      <x:c r="B30" s="27"/>
      <x:c r="C30" s="27"/>
      <x:c r="D30" s="27"/>
      <x:c r="E30" s="27"/>
      <x:c r="F30" s="27"/>
      <x:c r="G30" s="27"/>
      <x:c r="H30" s="27"/>
    </x:row>
    <x:row r="31" ht="19.5" customHeight="1">
      <x:c r="A31" s="27"/>
      <x:c r="B31" s="27"/>
      <x:c r="C31" s="27"/>
      <x:c r="D31" s="27"/>
      <x:c r="E31" s="27"/>
      <x:c r="F31" s="27"/>
      <x:c r="G31" s="27"/>
      <x:c r="H31" s="27"/>
    </x:row>
    <x:row r="32" ht="19.5" customHeight="1">
      <x:c r="A32" s="27"/>
      <x:c r="B32" s="27"/>
      <x:c r="C32" s="27"/>
      <x:c r="D32" s="27"/>
      <x:c r="E32" s="27"/>
      <x:c r="F32" s="27"/>
      <x:c r="G32" s="27"/>
      <x:c r="H32" s="27"/>
    </x:row>
    <x:row r="33" ht="19.5" customHeight="1">
      <x:c r="A33" s="27"/>
      <x:c r="B33" s="27"/>
      <x:c r="C33" s="27"/>
      <x:c r="D33" s="27"/>
      <x:c r="E33" s="27"/>
      <x:c r="F33" s="27"/>
      <x:c r="G33" s="27"/>
      <x:c r="H33" s="27"/>
    </x:row>
    <x:row r="34" ht="19.5" customHeight="1">
      <x:c r="A34" s="27"/>
      <x:c r="B34" s="27"/>
      <x:c r="C34" s="27"/>
      <x:c r="D34" s="27"/>
      <x:c r="E34" s="27"/>
      <x:c r="F34" s="27"/>
      <x:c r="G34" s="27"/>
      <x:c r="H34" s="27"/>
    </x:row>
    <x:row r="35" ht="19.5" customHeight="1">
      <x:c r="A35" s="27"/>
      <x:c r="B35" s="27"/>
      <x:c r="C35" s="27"/>
      <x:c r="D35" s="27"/>
      <x:c r="E35" s="27"/>
      <x:c r="F35" s="27"/>
      <x:c r="G35" s="27"/>
      <x:c r="H35" s="27"/>
    </x:row>
    <x:row r="36" ht="19.5" customHeight="1">
      <x:c r="A36" s="27"/>
      <x:c r="B36" s="27"/>
      <x:c r="C36" s="27"/>
      <x:c r="D36" s="27"/>
      <x:c r="E36" s="27"/>
      <x:c r="F36" s="27"/>
      <x:c r="G36" s="27"/>
      <x:c r="H36" s="27"/>
    </x:row>
    <x:row r="37" ht="19.5" customHeight="1">
      <x:c r="A37" s="27"/>
      <x:c r="B37" s="27"/>
      <x:c r="C37" s="27"/>
      <x:c r="D37" s="27"/>
      <x:c r="E37" s="27"/>
      <x:c r="F37" s="27"/>
      <x:c r="G37" s="27"/>
      <x:c r="H37" s="27"/>
    </x:row>
    <x:row r="38" ht="19.5" customHeight="1">
      <x:c r="A38" s="27"/>
      <x:c r="B38" s="27"/>
      <x:c r="C38" s="27"/>
      <x:c r="D38" s="27"/>
      <x:c r="E38" s="27"/>
      <x:c r="F38" s="27"/>
      <x:c r="G38" s="27"/>
      <x:c r="H38" s="27"/>
    </x:row>
    <x:row r="39" ht="19.5" customHeight="1">
      <x:c r="A39" s="27"/>
      <x:c r="B39" s="27"/>
      <x:c r="C39" s="27"/>
      <x:c r="D39" s="27"/>
      <x:c r="E39" s="27"/>
      <x:c r="F39" s="27"/>
      <x:c r="G39" s="27"/>
      <x:c r="H39" s="27"/>
    </x:row>
    <x:row r="40" ht="19.5" customHeight="1">
      <x:c r="A40" s="27"/>
      <x:c r="B40" s="27"/>
      <x:c r="C40" s="27"/>
      <x:c r="D40" s="27"/>
      <x:c r="E40" s="27"/>
      <x:c r="F40" s="27"/>
      <x:c r="G40" s="27"/>
      <x:c r="H40" s="27"/>
    </x:row>
    <x:row r="41" ht="19.5" customHeight="1">
      <x:c r="A41" s="27"/>
      <x:c r="B41" s="27"/>
      <x:c r="C41" s="27"/>
      <x:c r="D41" s="27"/>
      <x:c r="E41" s="27"/>
      <x:c r="F41" s="27"/>
      <x:c r="G41" s="27"/>
      <x:c r="H41" s="27"/>
    </x:row>
    <x:row r="42" ht="19.5" customHeight="1">
      <x:c r="A42" s="27"/>
      <x:c r="B42" s="27"/>
      <x:c r="C42" s="27"/>
      <x:c r="D42" s="27"/>
      <x:c r="E42" s="27"/>
      <x:c r="F42" s="27"/>
      <x:c r="G42" s="27"/>
      <x:c r="H42" s="27"/>
    </x:row>
    <x:row r="43" ht="19.5" customHeight="1">
      <x:c r="A43" s="27"/>
      <x:c r="B43" s="27"/>
      <x:c r="C43" s="27"/>
      <x:c r="D43" s="27"/>
      <x:c r="E43" s="27"/>
      <x:c r="F43" s="27"/>
      <x:c r="G43" s="27"/>
      <x:c r="H43" s="27"/>
    </x:row>
    <x:row r="44" ht="19.5" customHeight="1">
      <x:c r="A44" s="27"/>
      <x:c r="B44" s="27"/>
      <x:c r="C44" s="27"/>
      <x:c r="D44" s="27"/>
      <x:c r="E44" s="27"/>
      <x:c r="F44" s="27"/>
      <x:c r="G44" s="27"/>
      <x:c r="H44" s="27"/>
    </x:row>
    <x:row r="45" ht="19.5" customHeight="1">
      <x:c r="A45" s="27"/>
      <x:c r="B45" s="27"/>
      <x:c r="C45" s="27"/>
      <x:c r="D45" s="27"/>
      <x:c r="E45" s="27"/>
      <x:c r="F45" s="27"/>
      <x:c r="G45" s="27"/>
      <x:c r="H45" s="2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5.559999465942383" hidden="0" customWidth="1"/>
    <x:col min="4" max="4" width="21.110000610351562" hidden="0" customWidth="1"/>
    <x:col min="5" max="5" width="25.559999465942383" hidden="0" customWidth="1"/>
    <x:col min="6" max="6" width="24.440000534057617" hidden="0" customWidth="1"/>
    <x:col min="7" max="7" width="42.220001220703125" hidden="0" customWidth="1"/>
    <x:col min="8" max="8" width="28.889999389648438" hidden="0" customWidth="1"/>
  </x:cols>
  <x:sheetData>
    <x:row r="1" ht="25.5" customHeight="1">
      <x:c r="A1" s="4" t="str">
        <x:v>인사이트 및 액션 플랜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3" t="str">
        <x:v>광고주가 이해해야 하는 결론과 다음 실행만 짧게 작성합니다.</x:v>
      </x:c>
      <x:c r="B3" s="14" t="str"/>
      <x:c r="C3" s="14" t="str"/>
      <x:c r="D3" s="14" t="str"/>
      <x:c r="E3" s="14" t="str"/>
      <x:c r="F3" s="14" t="str"/>
      <x:c r="G3" s="14" t="str"/>
      <x:c r="H3" s="15" t="str"/>
    </x:row>
    <x:row r="5" ht="25.5" customHeight="1">
      <x:c r="A5" s="26" t="str">
        <x:v>작성일</x:v>
      </x:c>
      <x:c r="B5" s="26" t="str">
        <x:v>구분</x:v>
      </x:c>
      <x:c r="C5" s="26" t="str">
        <x:v>핵심변화</x:v>
      </x:c>
      <x:c r="D5" s="26" t="str">
        <x:v>부족한 지표</x:v>
      </x:c>
      <x:c r="E5" s="26" t="str">
        <x:v>개선제안</x:v>
      </x:c>
      <x:c r="F5" s="26" t="str">
        <x:v>다음액션</x:v>
      </x:c>
      <x:c r="G5" s="26" t="str">
        <x:v>광고주공개코멘트</x:v>
      </x:c>
      <x:c r="H5" s="26" t="str">
        <x:v>내부메모</x:v>
      </x:c>
    </x:row>
    <x:row r="6" ht="25.5" customHeight="1">
      <x:c r="A6" s="27" t="str">
        <x:v>2026-06-27</x:v>
      </x:c>
      <x:c r="B6" s="27" t="str">
        <x:v>주간</x:v>
      </x:c>
      <x:c r="C6" s="27" t="str">
        <x:v>네이버 검색광고 CTR 상승</x:v>
      </x:c>
      <x:c r="D6" s="27" t="str">
        <x:v>쿠팡 검색어 확장 부족</x:v>
      </x:c>
      <x:c r="E6" s="27" t="str">
        <x:v>상품명/검색어 필드 보강</x:v>
      </x:c>
      <x:c r="F6" s="27" t="str">
        <x:v>쿠팡 키워드 20개 추가</x:v>
      </x:c>
      <x:c r="G6" s="27" t="str">
        <x:v>검색 유입은 유지되고 있으나 쿠팡 키워드 보강이 필요합니다.</x:v>
      </x:c>
      <x:c r="H6" s="27" t="str">
        <x:v>예산 증액은 다음 주 검토</x:v>
      </x:c>
    </x:row>
    <x:row r="7" ht="25.5" customHeight="1">
      <x:c r="A7" s="27" t="str">
        <x:v>2026-06-27</x:v>
      </x:c>
      <x:c r="B7" s="27" t="str">
        <x:v>월간</x:v>
      </x:c>
      <x:c r="C7" s="27" t="str">
        <x:v>합산 매출 목표 초과</x:v>
      </x:c>
      <x:c r="D7" s="27" t="str">
        <x:v>메타 소재 피로도</x:v>
      </x:c>
      <x:c r="E7" s="27" t="str">
        <x:v>소재 교체 테스트</x:v>
      </x:c>
      <x:c r="F7" s="27" t="str">
        <x:v>메타 소재 2종 교체</x:v>
      </x:c>
      <x:c r="G7" s="27" t="str">
        <x:v>월간 매출 흐름은 양호하며 다음 달은 소재 테스트를 진행합니다.</x:v>
      </x:c>
      <x:c r="H7" s="27" t="str">
        <x:v>내부용 소재 피로도 높음</x:v>
      </x:c>
    </x:row>
    <x:row r="8" ht="25.5" customHeight="1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</x:row>
    <x:row r="9" ht="25.5" customHeight="1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</x:row>
    <x:row r="10" ht="25.5" customHeight="1">
      <x:c r="A10" s="27"/>
      <x:c r="B10" s="27"/>
      <x:c r="C10" s="27"/>
      <x:c r="D10" s="27"/>
      <x:c r="E10" s="27"/>
      <x:c r="F10" s="27"/>
      <x:c r="G10" s="27"/>
      <x:c r="H10" s="27"/>
    </x:row>
    <x:row r="11" ht="25.5" customHeight="1">
      <x:c r="A11" s="27"/>
      <x:c r="B11" s="27"/>
      <x:c r="C11" s="27"/>
      <x:c r="D11" s="27"/>
      <x:c r="E11" s="27"/>
      <x:c r="F11" s="27"/>
      <x:c r="G11" s="27"/>
      <x:c r="H11" s="27"/>
    </x:row>
    <x:row r="12" ht="25.5" customHeight="1">
      <x:c r="A12" s="27"/>
      <x:c r="B12" s="27"/>
      <x:c r="C12" s="27"/>
      <x:c r="D12" s="27"/>
      <x:c r="E12" s="27"/>
      <x:c r="F12" s="27"/>
      <x:c r="G12" s="27"/>
      <x:c r="H12" s="27"/>
    </x:row>
    <x:row r="13" ht="25.5" customHeight="1">
      <x:c r="A13" s="27"/>
      <x:c r="B13" s="27"/>
      <x:c r="C13" s="27"/>
      <x:c r="D13" s="27"/>
      <x:c r="E13" s="27"/>
      <x:c r="F13" s="27"/>
      <x:c r="G13" s="27"/>
      <x:c r="H13" s="27"/>
    </x:row>
    <x:row r="14" ht="25.5" customHeight="1">
      <x:c r="A14" s="27"/>
      <x:c r="B14" s="27"/>
      <x:c r="C14" s="27"/>
      <x:c r="D14" s="27"/>
      <x:c r="E14" s="27"/>
      <x:c r="F14" s="27"/>
      <x:c r="G14" s="27"/>
      <x:c r="H14" s="27"/>
    </x:row>
    <x:row r="15" ht="25.5" customHeight="1">
      <x:c r="A15" s="27"/>
      <x:c r="B15" s="27"/>
      <x:c r="C15" s="27"/>
      <x:c r="D15" s="27"/>
      <x:c r="E15" s="27"/>
      <x:c r="F15" s="27"/>
      <x:c r="G15" s="27"/>
      <x:c r="H15" s="27"/>
    </x:row>
    <x:row r="16" ht="25.5" customHeight="1">
      <x:c r="A16" s="27"/>
      <x:c r="B16" s="27"/>
      <x:c r="C16" s="27"/>
      <x:c r="D16" s="27"/>
      <x:c r="E16" s="27"/>
      <x:c r="F16" s="27"/>
      <x:c r="G16" s="27"/>
      <x:c r="H16" s="27"/>
    </x:row>
    <x:row r="17" ht="25.5" customHeight="1">
      <x:c r="A17" s="27"/>
      <x:c r="B17" s="27"/>
      <x:c r="C17" s="27"/>
      <x:c r="D17" s="27"/>
      <x:c r="E17" s="27"/>
      <x:c r="F17" s="27"/>
      <x:c r="G17" s="27"/>
      <x:c r="H17" s="27"/>
    </x:row>
    <x:row r="18" ht="25.5" customHeight="1">
      <x:c r="A18" s="27"/>
      <x:c r="B18" s="27"/>
      <x:c r="C18" s="27"/>
      <x:c r="D18" s="27"/>
      <x:c r="E18" s="27"/>
      <x:c r="F18" s="27"/>
      <x:c r="G18" s="27"/>
      <x:c r="H18" s="27"/>
    </x:row>
    <x:row r="19" ht="25.5" customHeight="1">
      <x:c r="A19" s="27"/>
      <x:c r="B19" s="27"/>
      <x:c r="C19" s="27"/>
      <x:c r="D19" s="27"/>
      <x:c r="E19" s="27"/>
      <x:c r="F19" s="27"/>
      <x:c r="G19" s="27"/>
      <x:c r="H19" s="27"/>
    </x:row>
    <x:row r="20" ht="25.5" customHeight="1">
      <x:c r="A20" s="27"/>
      <x:c r="B20" s="27"/>
      <x:c r="C20" s="27"/>
      <x:c r="D20" s="27"/>
      <x:c r="E20" s="27"/>
      <x:c r="F20" s="27"/>
      <x:c r="G20" s="27"/>
      <x:c r="H20" s="27"/>
    </x:row>
    <x:row r="21" ht="25.5" customHeight="1">
      <x:c r="A21" s="27"/>
      <x:c r="B21" s="27"/>
      <x:c r="C21" s="27"/>
      <x:c r="D21" s="27"/>
      <x:c r="E21" s="27"/>
      <x:c r="F21" s="27"/>
      <x:c r="G21" s="27"/>
      <x:c r="H21" s="27"/>
    </x:row>
    <x:row r="22" ht="25.5" customHeight="1">
      <x:c r="A22" s="27"/>
      <x:c r="B22" s="27"/>
      <x:c r="C22" s="27"/>
      <x:c r="D22" s="27"/>
      <x:c r="E22" s="27"/>
      <x:c r="F22" s="27"/>
      <x:c r="G22" s="27"/>
      <x:c r="H22" s="27"/>
    </x:row>
    <x:row r="23" ht="25.5" customHeight="1">
      <x:c r="A23" s="27"/>
      <x:c r="B23" s="27"/>
      <x:c r="C23" s="27"/>
      <x:c r="D23" s="27"/>
      <x:c r="E23" s="27"/>
      <x:c r="F23" s="27"/>
      <x:c r="G23" s="27"/>
      <x:c r="H23" s="27"/>
    </x:row>
    <x:row r="24" ht="25.5" customHeight="1">
      <x:c r="A24" s="27"/>
      <x:c r="B24" s="27"/>
      <x:c r="C24" s="27"/>
      <x:c r="D24" s="27"/>
      <x:c r="E24" s="27"/>
      <x:c r="F24" s="27"/>
      <x:c r="G24" s="27"/>
      <x:c r="H24" s="27"/>
    </x:row>
    <x:row r="25" ht="25.5" customHeight="1">
      <x:c r="A25" s="27"/>
      <x:c r="B25" s="27"/>
      <x:c r="C25" s="27"/>
      <x:c r="D25" s="27"/>
      <x:c r="E25" s="27"/>
      <x:c r="F25" s="27"/>
      <x:c r="G25" s="27"/>
      <x:c r="H25" s="27"/>
    </x:row>
    <x:row r="26" ht="25.5" customHeight="1">
      <x:c r="A26" s="27"/>
      <x:c r="B26" s="27"/>
      <x:c r="C26" s="27"/>
      <x:c r="D26" s="27"/>
      <x:c r="E26" s="27"/>
      <x:c r="F26" s="27"/>
      <x:c r="G26" s="27"/>
      <x:c r="H26" s="27"/>
    </x:row>
    <x:row r="27" ht="25.5" customHeight="1">
      <x:c r="A27" s="27"/>
      <x:c r="B27" s="27"/>
      <x:c r="C27" s="27"/>
      <x:c r="D27" s="27"/>
      <x:c r="E27" s="27"/>
      <x:c r="F27" s="27"/>
      <x:c r="G27" s="27"/>
      <x:c r="H27" s="27"/>
    </x:row>
    <x:row r="28" ht="25.5" customHeight="1">
      <x:c r="A28" s="27"/>
      <x:c r="B28" s="27"/>
      <x:c r="C28" s="27"/>
      <x:c r="D28" s="27"/>
      <x:c r="E28" s="27"/>
      <x:c r="F28" s="27"/>
      <x:c r="G28" s="27"/>
      <x:c r="H28" s="27"/>
    </x:row>
    <x:row r="29" ht="25.5" customHeight="1">
      <x:c r="A29" s="27"/>
      <x:c r="B29" s="27"/>
      <x:c r="C29" s="27"/>
      <x:c r="D29" s="27"/>
      <x:c r="E29" s="27"/>
      <x:c r="F29" s="27"/>
      <x:c r="G29" s="27"/>
      <x:c r="H29" s="27"/>
    </x:row>
    <x:row r="30" ht="25.5" customHeight="1">
      <x:c r="A30" s="27"/>
      <x:c r="B30" s="27"/>
      <x:c r="C30" s="27"/>
      <x:c r="D30" s="27"/>
      <x:c r="E30" s="27"/>
      <x:c r="F30" s="27"/>
      <x:c r="G30" s="27"/>
      <x:c r="H30" s="27"/>
    </x:row>
    <x:row r="31" ht="25.5" customHeight="1">
      <x:c r="A31" s="27"/>
      <x:c r="B31" s="27"/>
      <x:c r="C31" s="27"/>
      <x:c r="D31" s="27"/>
      <x:c r="E31" s="27"/>
      <x:c r="F31" s="27"/>
      <x:c r="G31" s="27"/>
      <x:c r="H31" s="27"/>
    </x:row>
    <x:row r="32" ht="25.5" customHeight="1">
      <x:c r="A32" s="27"/>
      <x:c r="B32" s="27"/>
      <x:c r="C32" s="27"/>
      <x:c r="D32" s="27"/>
      <x:c r="E32" s="27"/>
      <x:c r="F32" s="27"/>
      <x:c r="G32" s="27"/>
      <x:c r="H32" s="27"/>
    </x:row>
    <x:row r="33" ht="25.5" customHeight="1">
      <x:c r="A33" s="27"/>
      <x:c r="B33" s="27"/>
      <x:c r="C33" s="27"/>
      <x:c r="D33" s="27"/>
      <x:c r="E33" s="27"/>
      <x:c r="F33" s="27"/>
      <x:c r="G33" s="27"/>
      <x:c r="H33" s="27"/>
    </x:row>
    <x:row r="34" ht="25.5" customHeight="1">
      <x:c r="A34" s="27"/>
      <x:c r="B34" s="27"/>
      <x:c r="C34" s="27"/>
      <x:c r="D34" s="27"/>
      <x:c r="E34" s="27"/>
      <x:c r="F34" s="27"/>
      <x:c r="G34" s="27"/>
      <x:c r="H34" s="27"/>
    </x:row>
    <x:row r="35" ht="25.5" customHeight="1">
      <x:c r="A35" s="27"/>
      <x:c r="B35" s="27"/>
      <x:c r="C35" s="27"/>
      <x:c r="D35" s="27"/>
      <x:c r="E35" s="27"/>
      <x:c r="F35" s="27"/>
      <x:c r="G35" s="27"/>
      <x:c r="H35" s="27"/>
    </x:row>
    <x:row r="36" ht="25.5" customHeight="1">
      <x:c r="A36" s="27"/>
      <x:c r="B36" s="27"/>
      <x:c r="C36" s="27"/>
      <x:c r="D36" s="27"/>
      <x:c r="E36" s="27"/>
      <x:c r="F36" s="27"/>
      <x:c r="G36" s="27"/>
      <x:c r="H36" s="27"/>
    </x:row>
    <x:row r="37" ht="25.5" customHeight="1">
      <x:c r="A37" s="27"/>
      <x:c r="B37" s="27"/>
      <x:c r="C37" s="27"/>
      <x:c r="D37" s="27"/>
      <x:c r="E37" s="27"/>
      <x:c r="F37" s="27"/>
      <x:c r="G37" s="27"/>
      <x:c r="H37" s="27"/>
    </x:row>
    <x:row r="38" ht="25.5" customHeight="1">
      <x:c r="A38" s="27"/>
      <x:c r="B38" s="27"/>
      <x:c r="C38" s="27"/>
      <x:c r="D38" s="27"/>
      <x:c r="E38" s="27"/>
      <x:c r="F38" s="27"/>
      <x:c r="G38" s="27"/>
      <x:c r="H38" s="27"/>
    </x:row>
    <x:row r="39" ht="25.5" customHeight="1">
      <x:c r="A39" s="27"/>
      <x:c r="B39" s="27"/>
      <x:c r="C39" s="27"/>
      <x:c r="D39" s="27"/>
      <x:c r="E39" s="27"/>
      <x:c r="F39" s="27"/>
      <x:c r="G39" s="27"/>
      <x:c r="H39" s="27"/>
    </x:row>
    <x:row r="40" ht="25.5" customHeight="1">
      <x:c r="A40" s="27"/>
      <x:c r="B40" s="27"/>
      <x:c r="C40" s="27"/>
      <x:c r="D40" s="27"/>
      <x:c r="E40" s="27"/>
      <x:c r="F40" s="27"/>
      <x:c r="G40" s="27"/>
      <x:c r="H40" s="27"/>
    </x:row>
    <x:row r="41" ht="25.5" customHeight="1">
      <x:c r="A41" s="27"/>
      <x:c r="B41" s="27"/>
      <x:c r="C41" s="27"/>
      <x:c r="D41" s="27"/>
      <x:c r="E41" s="27"/>
      <x:c r="F41" s="27"/>
      <x:c r="G41" s="27"/>
      <x:c r="H41" s="27"/>
    </x:row>
    <x:row r="42" ht="25.5" customHeight="1">
      <x:c r="A42" s="27"/>
      <x:c r="B42" s="27"/>
      <x:c r="C42" s="27"/>
      <x:c r="D42" s="27"/>
      <x:c r="E42" s="27"/>
      <x:c r="F42" s="27"/>
      <x:c r="G42" s="27"/>
      <x:c r="H42" s="27"/>
    </x:row>
    <x:row r="43" ht="25.5" customHeight="1">
      <x:c r="A43" s="27"/>
      <x:c r="B43" s="27"/>
      <x:c r="C43" s="27"/>
      <x:c r="D43" s="27"/>
      <x:c r="E43" s="27"/>
      <x:c r="F43" s="27"/>
      <x:c r="G43" s="27"/>
      <x:c r="H43" s="27"/>
    </x:row>
    <x:row r="44" ht="25.5" customHeight="1">
      <x:c r="A44" s="27"/>
      <x:c r="B44" s="27"/>
      <x:c r="C44" s="27"/>
      <x:c r="D44" s="27"/>
      <x:c r="E44" s="27"/>
      <x:c r="F44" s="27"/>
      <x:c r="G44" s="27"/>
      <x:c r="H44" s="27"/>
    </x:row>
    <x:row r="45" ht="25.5" customHeight="1">
      <x:c r="A45" s="27"/>
      <x:c r="B45" s="27"/>
      <x:c r="C45" s="27"/>
      <x:c r="D45" s="27"/>
      <x:c r="E45" s="27"/>
      <x:c r="F45" s="27"/>
      <x:c r="G45" s="27"/>
      <x:c r="H45" s="2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5.5600004196167" hidden="0" customWidth="1"/>
    <x:col min="3" max="3" width="14.4399995803833" hidden="0" customWidth="1"/>
    <x:col min="4" max="4" width="28.889999389648438" hidden="0" customWidth="1"/>
    <x:col min="5" max="5" width="12.220000267028809" hidden="0" customWidth="1"/>
    <x:col min="6" max="6" width="14.4399995803833" hidden="0" customWidth="1"/>
    <x:col min="7" max="7" width="14.4399995803833" hidden="0" customWidth="1"/>
    <x:col min="8" max="8" width="10" hidden="0" customWidth="1"/>
  </x:cols>
  <x:sheetData>
    <x:row r="1" ht="25.5" customHeight="1">
      <x:c r="A1" s="4" t="str">
        <x:v>운영 요약 대시보드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3" t="str">
        <x:v>네이버_일별입력과 쿠팡_일별입력에서 월간_매출입력으로 합산된 값을 기준으로 자동 요약됩니다.</x:v>
      </x:c>
      <x:c r="B3" s="14" t="str"/>
      <x:c r="C3" s="14" t="str"/>
      <x:c r="D3" s="14" t="str"/>
      <x:c r="E3" s="14" t="str"/>
      <x:c r="F3" s="14" t="str"/>
      <x:c r="G3" s="14" t="str"/>
      <x:c r="H3" s="15" t="str"/>
    </x:row>
    <x:row r="5" ht="20.25" customHeight="1">
      <x:c r="A5" s="26" t="str">
        <x:v>지표</x:v>
      </x:c>
      <x:c r="B5" s="26" t="str">
        <x:v>값</x:v>
      </x:c>
      <x:c r="C5" s="26" t="str">
        <x:v>판단</x:v>
      </x:c>
      <x:c r="D5" s="26" t="str"/>
      <x:c r="E5" s="26" t="str">
        <x:v>채널</x:v>
      </x:c>
      <x:c r="F5" s="26" t="str">
        <x:v>매출</x:v>
      </x:c>
      <x:c r="G5" s="26" t="str">
        <x:v>광고비</x:v>
      </x:c>
      <x:c r="H5" s="26" t="str">
        <x:v>ROAS</x:v>
      </x:c>
    </x:row>
    <x:row r="6" ht="20.25" customHeight="1">
      <x:c r="A6" s="21" t="str">
        <x:v>이번 달 매출</x:v>
      </x:c>
      <x:c r="B6" s="35" t="n">
        <x:f>'월간_매출입력'!D8</x:f>
        <x:v>37200000</x:v>
      </x:c>
      <x:c r="C6" s="28" t="str">
        <x:f>IF(B6&gt;=SUM('월간_매출입력'!C6:C7),"목표 초과","추적 필요")</x:f>
        <x:v>추적 필요</x:v>
      </x:c>
      <x:c r="D6" s="21"/>
      <x:c r="E6" s="21" t="str">
        <x:v>네이버</x:v>
      </x:c>
      <x:c r="F6" s="35" t="n">
        <x:f>'월간_매출입력'!D6</x:f>
        <x:v>18600000</x:v>
      </x:c>
      <x:c r="G6" s="35" t="n">
        <x:f>'월간_매출입력'!E6</x:f>
        <x:v>3200000</x:v>
      </x:c>
      <x:c r="H6" s="38" t="n">
        <x:f>'월간_매출입력'!J6</x:f>
        <x:v>5.8125</x:v>
      </x:c>
    </x:row>
    <x:row r="7" ht="20.25" customHeight="1">
      <x:c r="A7" s="21" t="str">
        <x:v>광고비</x:v>
      </x:c>
      <x:c r="B7" s="35" t="n">
        <x:f>'월간_매출입력'!E8</x:f>
        <x:v>6400000</x:v>
      </x:c>
      <x:c r="C7" s="28" t="str">
        <x:f>IF(B7&gt;0,"확인","입력 필요")</x:f>
        <x:v>확인</x:v>
      </x:c>
      <x:c r="D7" s="21"/>
      <x:c r="E7" s="21" t="str">
        <x:v>쿠팡</x:v>
      </x:c>
      <x:c r="F7" s="35" t="n">
        <x:f>'월간_매출입력'!D7</x:f>
        <x:v>18600000</x:v>
      </x:c>
      <x:c r="G7" s="35" t="n">
        <x:f>'월간_매출입력'!E7</x:f>
        <x:v>3200000</x:v>
      </x:c>
      <x:c r="H7" s="38" t="n">
        <x:f>'월간_매출입력'!J7</x:f>
        <x:v>5.8125</x:v>
      </x:c>
    </x:row>
    <x:row r="8" ht="20.25" customHeight="1">
      <x:c r="A8" s="21" t="str">
        <x:v>ROAS</x:v>
      </x:c>
      <x:c r="B8" s="38" t="n">
        <x:f>'월간_매출입력'!J8</x:f>
        <x:v>5.8125</x:v>
      </x:c>
      <x:c r="C8" s="28" t="str">
        <x:f>IF(B8&gt;=5,"양호","개선 필요")</x:f>
        <x:v>양호</x:v>
      </x:c>
      <x:c r="D8" s="21"/>
      <x:c r="E8" s="21" t="str">
        <x:v>합계</x:v>
      </x:c>
      <x:c r="F8" s="35" t="n">
        <x:f>'월간_매출입력'!D8</x:f>
        <x:v>37200000</x:v>
      </x:c>
      <x:c r="G8" s="35" t="n">
        <x:f>'월간_매출입력'!E8</x:f>
        <x:v>6400000</x:v>
      </x:c>
      <x:c r="H8" s="38" t="n">
        <x:f>'월간_매출입력'!J8</x:f>
        <x:v>5.8125</x:v>
      </x:c>
    </x:row>
    <x:row r="9" ht="20.25" customHeight="1">
      <x:c r="A9" s="21" t="str">
        <x:v>구매수</x:v>
      </x:c>
      <x:c r="B9" s="35" t="n">
        <x:f>'월간_매출입력'!F8</x:f>
        <x:v>1284</x:v>
      </x:c>
      <x:c r="C9" s="28" t="str">
        <x:f>IF(B9&gt;0,"확인","입력 필요")</x:f>
        <x:v>확인</x:v>
      </x:c>
      <x:c r="D9" s="21"/>
      <x:c r="E9" s="21"/>
      <x:c r="F9" s="21"/>
      <x:c r="G9" s="21"/>
      <x:c r="H9" s="21"/>
    </x:row>
    <x:row r="10" ht="20.25" customHeight="1">
      <x:c r="A10" s="21" t="str">
        <x:v>목표달성률</x:v>
      </x:c>
      <x:c r="B10" s="40" t="n">
        <x:f>'월간_매출입력'!M8</x:f>
        <x:v>0.6888888888888889</x:v>
      </x:c>
      <x:c r="C10" s="28" t="str">
        <x:f>IF(B10&gt;=1,"달성","진행")</x:f>
        <x:v>진행</x:v>
      </x:c>
      <x:c r="D10" s="21"/>
      <x:c r="E10" s="21"/>
      <x:c r="F10" s="21"/>
      <x:c r="G10" s="21"/>
      <x:c r="H10" s="21"/>
    </x:row>
    <x:row r="11" ht="20.25" customHeight="1">
      <x:c r="A11" s="21" t="str">
        <x:v>보고서 상태</x:v>
      </x:c>
      <x:c r="B11" s="28" t="str">
        <x:f>IF(COUNTIF('보고서_목록'!D6:D40,"공개 가능")&gt;=1,"공개 가능","검수 필요")</x:f>
        <x:v>공개 가능</x:v>
      </x:c>
      <x:c r="C11" s="28" t="str">
        <x:f>B11</x:f>
        <x:v>공개 가능</x:v>
      </x:c>
      <x:c r="D11" s="21"/>
      <x:c r="E11" s="21"/>
      <x:c r="F11" s="21"/>
      <x:c r="G11" s="21"/>
      <x:c r="H11" s="21"/>
    </x:row>
    <x:row r="12" ht="20.25" customHeight="1">
      <x:c r="A12" s="21"/>
      <x:c r="B12" s="21"/>
      <x:c r="C12" s="21"/>
      <x:c r="D12" s="21"/>
      <x:c r="E12" s="21"/>
      <x:c r="F12" s="21"/>
      <x:c r="G12" s="21"/>
      <x:c r="H12" s="21"/>
    </x:row>
    <x:row r="13" ht="20.25" customHeight="1">
      <x:c r="A13" s="21"/>
      <x:c r="B13" s="21"/>
      <x:c r="C13" s="21"/>
      <x:c r="D13" s="21"/>
      <x:c r="E13" s="21"/>
      <x:c r="F13" s="21"/>
      <x:c r="G13" s="21"/>
      <x:c r="H13" s="21"/>
    </x:row>
    <x:row r="14" ht="20.25" customHeight="1">
      <x:c r="A14" s="26" t="str">
        <x:v>운영 체크</x:v>
      </x:c>
      <x:c r="B14" s="26" t="str">
        <x:v>상태</x:v>
      </x:c>
      <x:c r="C14" s="26" t="str">
        <x:v>다음 조치</x:v>
      </x:c>
      <x:c r="D14" s="26" t="str">
        <x:v>메모</x:v>
      </x:c>
      <x:c r="E14" s="26" t="str"/>
      <x:c r="F14" s="26" t="str"/>
      <x:c r="G14" s="26" t="str"/>
      <x:c r="H14" s="26" t="str"/>
    </x:row>
    <x:row r="15" ht="20.25" customHeight="1">
      <x:c r="A15" s="21" t="str">
        <x:v>월간 입력</x:v>
      </x:c>
      <x:c r="B15" s="21" t="str">
        <x:v>완료</x:v>
      </x:c>
      <x:c r="C15" s="21" t="str">
        <x:v>수치 검수</x:v>
      </x:c>
      <x:c r="D15" s="21" t="str">
        <x:v>노란색 입력칸 확인</x:v>
      </x:c>
      <x:c r="E15" s="21"/>
      <x:c r="F15" s="21"/>
      <x:c r="G15" s="21"/>
      <x:c r="H15" s="21"/>
    </x:row>
    <x:row r="16" ht="20.25" customHeight="1">
      <x:c r="A16" s="21" t="str">
        <x:v>보고서</x:v>
      </x:c>
      <x:c r="B16" s="21" t="str">
        <x:v>검수 중</x:v>
      </x:c>
      <x:c r="C16" s="21" t="str">
        <x:v>파일 업로드</x:v>
      </x:c>
      <x:c r="D16" s="21" t="str">
        <x:v>공개 가능 보고서만 광고주 노출</x:v>
      </x:c>
      <x:c r="E16" s="21"/>
      <x:c r="F16" s="21"/>
      <x:c r="G16" s="21"/>
      <x:c r="H16" s="21"/>
    </x:row>
    <x:row r="17" ht="20.25" customHeight="1">
      <x:c r="A17" s="21" t="str">
        <x:v>일정</x:v>
      </x:c>
      <x:c r="B17" s="21" t="str">
        <x:v>정상</x:v>
      </x:c>
      <x:c r="C17" s="21" t="str">
        <x:v>공개 일정 확인</x:v>
      </x:c>
      <x:c r="D17" s="21" t="str">
        <x:v>Y 일정만 광고주 공유</x:v>
      </x:c>
      <x:c r="E17" s="21"/>
      <x:c r="F17" s="21"/>
      <x:c r="G17" s="21"/>
      <x:c r="H17" s="21"/>
    </x:row>
    <x:row r="18" ht="20.25" customHeight="1">
      <x:c r="A18" s="21" t="str">
        <x:v>인사이트</x:v>
      </x:c>
      <x:c r="B18" s="21" t="str">
        <x:v>작성 필요</x:v>
      </x:c>
      <x:c r="C18" s="21" t="str">
        <x:v>광고주 코멘트 정리</x:v>
      </x:c>
      <x:c r="D18" s="21" t="str">
        <x:v>내부 메모 분리</x:v>
      </x:c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3.33000183105469" hidden="0" customWidth="1"/>
    <x:col min="3" max="3" width="17.780000686645508" hidden="0" customWidth="1"/>
    <x:col min="4" max="4" width="17.780000686645508" hidden="0" customWidth="1"/>
    <x:col min="5" max="5" width="8.890000343322754" hidden="0" customWidth="1"/>
    <x:col min="6" max="6" width="28.889999389648438" hidden="0" customWidth="1"/>
  </x:cols>
  <x:sheetData>
    <x:row r="1" ht="25.5" customHeight="1">
      <x:c r="A1" s="4" t="str">
        <x:v>공개 규칙</x:v>
      </x:c>
      <x:c r="B1" s="4" t="str"/>
      <x:c r="C1" s="4" t="str"/>
      <x:c r="D1" s="4" t="str"/>
      <x:c r="E1" s="4" t="str"/>
      <x:c r="F1" s="4" t="str"/>
    </x:row>
    <x:row r="3">
      <x:c r="A3" s="13" t="str">
        <x:v>광고주에게 보여줄 자료와 내부 메모를 분리하는 기준입니다.</x:v>
      </x:c>
      <x:c r="B3" s="14" t="str"/>
      <x:c r="C3" s="14" t="str"/>
      <x:c r="D3" s="14" t="str"/>
      <x:c r="E3" s="14" t="str"/>
      <x:c r="F3" s="15" t="str"/>
    </x:row>
    <x:row r="5" ht="20.25" customHeight="1">
      <x:c r="A5" s="26" t="str">
        <x:v>항목</x:v>
      </x:c>
      <x:c r="B5" s="26" t="str">
        <x:v>설명</x:v>
      </x:c>
      <x:c r="C5" s="26" t="str">
        <x:v>광고주 노출</x:v>
      </x:c>
      <x:c r="D5" s="26" t="str">
        <x:v>운영팀 입력</x:v>
      </x:c>
      <x:c r="E5" s="26" t="str">
        <x:v>필수</x:v>
      </x:c>
      <x:c r="F5" s="26" t="str">
        <x:v>비고</x:v>
      </x:c>
    </x:row>
    <x:row r="6" ht="20.25" customHeight="1">
      <x:c r="A6" s="21" t="str">
        <x:v>네이버_일별입력</x:v>
      </x:c>
      <x:c r="B6" s="21" t="str">
        <x:v>네이버 일별 매출과 광고 성과 원천값</x:v>
      </x:c>
      <x:c r="C6" s="21" t="str">
        <x:v>월간 합산 후 요약 노출</x:v>
      </x:c>
      <x:c r="D6" s="21" t="str">
        <x:v>노란색 칸 작성</x:v>
      </x:c>
      <x:c r="E6" s="21" t="str">
        <x:v>필수</x:v>
      </x:c>
      <x:c r="F6" s="21" t="str">
        <x:v>월간_매출입력 자동 합산</x:v>
      </x:c>
    </x:row>
    <x:row r="7" ht="20.25" customHeight="1">
      <x:c r="A7" s="21" t="str">
        <x:v>쿠팡_일별입력</x:v>
      </x:c>
      <x:c r="B7" s="21" t="str">
        <x:v>쿠팡 일별 매출과 광고 성과 원천값</x:v>
      </x:c>
      <x:c r="C7" s="21" t="str">
        <x:v>월간 합산 후 요약 노출</x:v>
      </x:c>
      <x:c r="D7" s="21" t="str">
        <x:v>노란색 칸 작성</x:v>
      </x:c>
      <x:c r="E7" s="21" t="str">
        <x:v>필수</x:v>
      </x:c>
      <x:c r="F7" s="21" t="str">
        <x:v>월간_매출입력 자동 합산</x:v>
      </x:c>
    </x:row>
    <x:row r="8" ht="20.25" customHeight="1">
      <x:c r="A8" s="21" t="str">
        <x:v>월간_매출입력</x:v>
      </x:c>
      <x:c r="B8" s="21" t="str">
        <x:v>네이버와 쿠팡 입력값을 월간으로 자동 요약</x:v>
      </x:c>
      <x:c r="C8" s="21" t="str">
        <x:v>요약 수치만 노출</x:v>
      </x:c>
      <x:c r="D8" s="21" t="str">
        <x:v>목표·공개코멘트 작성</x:v>
      </x:c>
      <x:c r="E8" s="21" t="str">
        <x:v>필수</x:v>
      </x:c>
      <x:c r="F8" s="21" t="str">
        <x:v>코드 입력 없음</x:v>
      </x:c>
    </x:row>
    <x:row r="9" ht="20.25" customHeight="1">
      <x:c r="A9" s="21" t="str">
        <x:v>광고주공개코멘트</x:v>
      </x:c>
      <x:c r="B9" s="21" t="str">
        <x:v>광고주가 보는 해석 문장</x:v>
      </x:c>
      <x:c r="C9" s="21" t="str">
        <x:v>노출</x:v>
      </x:c>
      <x:c r="D9" s="21" t="str">
        <x:v>짧게 작성</x:v>
      </x:c>
      <x:c r="E9" s="21" t="str">
        <x:v>필수</x:v>
      </x:c>
      <x:c r="F9" s="21" t="str">
        <x:v>내부 판단 작성 금지</x:v>
      </x:c>
    </x:row>
    <x:row r="10" ht="20.25" customHeight="1">
      <x:c r="A10" s="21" t="str">
        <x:v>보고서_목록</x:v>
      </x:c>
      <x:c r="B10" s="21" t="str">
        <x:v>보고서 파일명 또는 링크</x:v>
      </x:c>
      <x:c r="C10" s="21" t="str">
        <x:v>공개 가능 상태만 노출</x:v>
      </x:c>
      <x:c r="D10" s="21" t="str">
        <x:v>운영팀 작성</x:v>
      </x:c>
      <x:c r="E10" s="21" t="str">
        <x:v>필수</x:v>
      </x:c>
      <x:c r="F10" s="21" t="str">
        <x:v>업로드 후 확인</x:v>
      </x:c>
    </x:row>
    <x:row r="11" ht="20.25" customHeight="1">
      <x:c r="A11" s="21" t="str">
        <x:v>일정표</x:v>
      </x:c>
      <x:c r="B11" s="21" t="str">
        <x:v>광고주 공유 일정</x:v>
      </x:c>
      <x:c r="C11" s="21" t="str">
        <x:v>공개여부 Y만 노출</x:v>
      </x:c>
      <x:c r="D11" s="21" t="str">
        <x:v>운영팀 작성</x:v>
      </x:c>
      <x:c r="E11" s="21" t="str">
        <x:v>권장</x:v>
      </x:c>
      <x:c r="F11" s="21" t="str">
        <x:v>내부 일정은 N</x:v>
      </x:c>
    </x:row>
    <x:row r="12" ht="20.25" customHeight="1">
      <x:c r="A12" s="21" t="str">
        <x:v>인사이트</x:v>
      </x:c>
      <x:c r="B12" s="21" t="str">
        <x:v>이번 주 결론과 다음 액션</x:v>
      </x:c>
      <x:c r="C12" s="21" t="str">
        <x:v>공개코멘트만 노출</x:v>
      </x:c>
      <x:c r="D12" s="21" t="str">
        <x:v>운영팀 작성</x:v>
      </x:c>
      <x:c r="E12" s="21" t="str">
        <x:v>권장</x:v>
      </x:c>
      <x:c r="F12" s="21" t="str">
        <x:v>내부메모는 미노출</x:v>
      </x:c>
    </x:row>
    <x:row r="13" ht="20.25" customHeight="1">
      <x:c r="A13" s="21" t="str">
        <x:v>원천 파일</x:v>
      </x:c>
      <x:c r="B13" s="21" t="str">
        <x:v>작성 완료한 엑셀 원본</x:v>
      </x:c>
      <x:c r="C13" s="21" t="str">
        <x:v>미노출</x:v>
      </x:c>
      <x:c r="D13" s="21" t="str">
        <x:v>관리자 화면 업로드</x:v>
      </x:c>
      <x:c r="E13" s="21" t="str">
        <x:v>필수</x:v>
      </x:c>
      <x:c r="F13" s="21" t="str">
        <x:v>다운로드 보관 가능</x:v>
      </x:c>
    </x:row>
    <x:row r="14" ht="20.25" customHeight="1">
      <x:c r="A14" s="21"/>
      <x:c r="B14" s="21"/>
      <x:c r="C14" s="21"/>
      <x:c r="D14" s="21"/>
      <x:c r="E14" s="21"/>
      <x:c r="F14" s="21"/>
    </x:row>
    <x:row r="15" ht="20.25" customHeight="1">
      <x:c r="A15" s="21"/>
      <x:c r="B15" s="21"/>
      <x:c r="C15" s="21"/>
      <x:c r="D15" s="21"/>
      <x:c r="E15" s="21"/>
      <x:c r="F15" s="21"/>
    </x:row>
    <x:row r="16" ht="20.25" customHeight="1">
      <x:c r="A16" s="21"/>
      <x:c r="B16" s="21"/>
      <x:c r="C16" s="21"/>
      <x:c r="D16" s="21"/>
      <x:c r="E16" s="21"/>
      <x:c r="F16" s="21"/>
    </x:row>
    <x:row r="17" ht="20.25" customHeight="1">
      <x:c r="A17" s="21"/>
      <x:c r="B17" s="21"/>
      <x:c r="C17" s="21"/>
      <x:c r="D17" s="21"/>
      <x:c r="E17" s="21"/>
      <x:c r="F17" s="21"/>
    </x:row>
    <x:row r="18" ht="20.25" customHeight="1">
      <x:c r="A18" s="21"/>
      <x:c r="B18" s="21"/>
      <x:c r="C18" s="21"/>
      <x:c r="D18" s="21"/>
      <x:c r="E18" s="21"/>
      <x:c r="F18" s="21"/>
    </x:row>
    <x:row r="19" ht="20.25" customHeight="1">
      <x:c r="A19" s="21"/>
      <x:c r="B19" s="21"/>
      <x:c r="C19" s="21"/>
      <x:c r="D19" s="21"/>
      <x:c r="E19" s="21"/>
      <x:c r="F19" s="21"/>
    </x:row>
    <x:row r="20" ht="20.25" customHeight="1">
      <x:c r="A20" s="21"/>
      <x:c r="B20" s="21"/>
      <x:c r="C20" s="21"/>
      <x:c r="D20" s="21"/>
      <x:c r="E20" s="21"/>
      <x:c r="F20" s="21"/>
    </x:row>
    <x:row r="21" ht="20.25" customHeight="1">
      <x:c r="A21" s="21"/>
      <x:c r="B21" s="21"/>
      <x:c r="C21" s="21"/>
      <x:c r="D21" s="21"/>
      <x:c r="E21" s="21"/>
      <x:c r="F21" s="21"/>
    </x:row>
    <x:row r="22" ht="20.25" customHeight="1">
      <x:c r="A22" s="21"/>
      <x:c r="B22" s="21"/>
      <x:c r="C22" s="21"/>
      <x:c r="D22" s="21"/>
      <x:c r="E22" s="21"/>
      <x:c r="F22" s="21"/>
    </x:row>
    <x:row r="23" ht="20.25" customHeight="1">
      <x:c r="A23" s="21"/>
      <x:c r="B23" s="21"/>
      <x:c r="C23" s="21"/>
      <x:c r="D23" s="21"/>
      <x:c r="E23" s="21"/>
      <x:c r="F23" s="21"/>
    </x:row>
    <x:row r="24" ht="20.25" customHeight="1">
      <x:c r="A24" s="21"/>
      <x:c r="B24" s="21"/>
      <x:c r="C24" s="21"/>
      <x:c r="D24" s="21"/>
      <x:c r="E24" s="21"/>
      <x:c r="F24" s="21"/>
    </x:row>
  </x:sheetData>
  <x:pageMargins left="0.7" right="0.7" top="0.75" bottom="0.75" header="0.3" footer="0.3"/>
</x:worksheet>
</file>